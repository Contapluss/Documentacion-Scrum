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tiempo estimado" sheetId="1" r:id="rId4"/>
    <sheet state="visible" name="Backlog real" sheetId="2" r:id="rId5"/>
    <sheet state="visible" name="Tabla de esfuerzo" sheetId="3" r:id="rId6"/>
  </sheets>
  <definedNames/>
  <calcPr/>
  <extLst>
    <ext uri="GoogleSheetsCustomDataVersion2">
      <go:sheetsCustomData xmlns:go="http://customooxmlschemas.google.com/" r:id="rId7" roundtripDataChecksum="vWtXW8YrOvwrnNWpQln7zJCZ+E8fqo69zpYqYm4vfs4="/>
    </ext>
  </extLst>
</workbook>
</file>

<file path=xl/sharedStrings.xml><?xml version="1.0" encoding="utf-8"?>
<sst xmlns="http://schemas.openxmlformats.org/spreadsheetml/2006/main" count="400" uniqueCount="130">
  <si>
    <t>PILA DEL PRODUCTO</t>
  </si>
  <si>
    <t>Prioridad</t>
  </si>
  <si>
    <t>Categoria</t>
  </si>
  <si>
    <t>Tarea</t>
  </si>
  <si>
    <t>Responsable</t>
  </si>
  <si>
    <t>Estimar HH</t>
  </si>
  <si>
    <t>Estado</t>
  </si>
  <si>
    <t>OBJETIVO DEL SPRINT</t>
  </si>
  <si>
    <t>Capa vista</t>
  </si>
  <si>
    <t>Crear plantilla del sidebar</t>
  </si>
  <si>
    <t>Joaquin Bello</t>
  </si>
  <si>
    <t>Terminado</t>
  </si>
  <si>
    <t>Generar la plataforma de Datos de empresa</t>
  </si>
  <si>
    <t>Crear vista de datos del trabajador</t>
  </si>
  <si>
    <t>Generar la plataforma de trabajadores</t>
  </si>
  <si>
    <t>Crear vista de datos de la empresa</t>
  </si>
  <si>
    <t>Crear página de login / crear cuenta</t>
  </si>
  <si>
    <t>Crear vista de la plantilla de cargos</t>
  </si>
  <si>
    <t>Generar la plataforma de cargos</t>
  </si>
  <si>
    <t>Capa controlador</t>
  </si>
  <si>
    <t>Crear función para validar correo electrónico</t>
  </si>
  <si>
    <t>Daniel Díaz</t>
  </si>
  <si>
    <t>Desarrollo base de datos</t>
  </si>
  <si>
    <t>Modelar entidad-relación para todas las bases de datos</t>
  </si>
  <si>
    <t>Alvaro Brizuela</t>
  </si>
  <si>
    <t>Reestructurar base de datos para permitir que un trabajador esté en más de una empresa</t>
  </si>
  <si>
    <t>Crear type para tabla de socios</t>
  </si>
  <si>
    <t>Crear type para tabla de usuarios</t>
  </si>
  <si>
    <t>Desarrollo conexiones</t>
  </si>
  <si>
    <t>Finalizar conecion al logion</t>
  </si>
  <si>
    <t>Documentacion</t>
  </si>
  <si>
    <t>Migrar vistas (VIEWS) de lista al proyecto principal (main)</t>
  </si>
  <si>
    <t>Investigar entrega 2 y qué debería ir en el Scrum++</t>
  </si>
  <si>
    <t>Generar Documentacion</t>
  </si>
  <si>
    <t>Corregir Bizagi</t>
  </si>
  <si>
    <t>Corregir diagramas de casos de uso</t>
  </si>
  <si>
    <t>Revisar casos de uso</t>
  </si>
  <si>
    <t>Revisar márgenes del Documento 0</t>
  </si>
  <si>
    <t>Cambiar índices al final del documento</t>
  </si>
  <si>
    <t>Revisar los objetivos generales y específicos</t>
  </si>
  <si>
    <t>Generar tabla de backlog</t>
  </si>
  <si>
    <t>Crear tabla de esfuerzo</t>
  </si>
  <si>
    <t>Crear gráfico burn-down</t>
  </si>
  <si>
    <t>Revisar si los objetivos y las tareas del sprint tienen algún formato</t>
  </si>
  <si>
    <t>Vista lógica: diagrama de clases y modelo de datos</t>
  </si>
  <si>
    <t>3 = Prioridad Alta (Crítico, bloqueante)</t>
  </si>
  <si>
    <t>2 = Prioridad Media (Necesario para funcionalidad completa)</t>
  </si>
  <si>
    <t>1 = Prioridad Baja (Soporte, gestión, optimización)</t>
  </si>
  <si>
    <t>Proyecto</t>
  </si>
  <si>
    <t>Inicio</t>
  </si>
  <si>
    <t>Fin</t>
  </si>
  <si>
    <t>HH Efectivas</t>
  </si>
  <si>
    <t>Finalizar conecion al login</t>
  </si>
  <si>
    <t>Pendiente</t>
  </si>
  <si>
    <t>Fechas</t>
  </si>
  <si>
    <t>HH efectivas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</si>
  <si>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</si>
  <si>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</si>
  <si>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</si>
  <si>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</si>
  <si>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</si>
  <si>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</si>
  <si>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</si>
  <si>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</si>
  <si>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</si>
  <si>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</si>
  <si>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</si>
  <si>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</si>
  <si>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</si>
  <si>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</si>
  <si>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</si>
  <si>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</si>
  <si>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</si>
  <si>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</si>
  <si>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</si>
  <si>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</si>
  <si>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</si>
  <si>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</si>
  <si>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</si>
  <si>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</si>
  <si>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</si>
  <si>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</si>
  <si>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</si>
  <si>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</si>
  <si>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</si>
  <si>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</si>
  <si>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</si>
  <si>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</si>
  <si>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14/06/2026</t>
  </si>
  <si>
    <t>15/06/2026</t>
  </si>
  <si>
    <t>Column 36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</si>
  <si>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</si>
  <si>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</si>
  <si>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</si>
  <si>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</si>
  <si>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</si>
  <si>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</si>
  <si>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</si>
  <si>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</si>
  <si>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</si>
  <si>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</si>
  <si>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</si>
  <si>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</si>
  <si>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</si>
  <si>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</si>
  <si>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</si>
  <si>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</si>
  <si>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</si>
  <si>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</si>
  <si>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</si>
  <si>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</si>
  <si>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</si>
  <si>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</si>
  <si>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</si>
  <si>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</si>
  <si>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</si>
  <si>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</si>
  <si>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</si>
  <si>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</si>
  <si>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</si>
  <si>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</si>
  <si>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</si>
  <si>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 32</t>
  </si>
  <si>
    <t>Dia 33</t>
  </si>
  <si>
    <t>Dia 34</t>
  </si>
  <si>
    <t>Tareas</t>
  </si>
  <si>
    <t>Esfuerzo</t>
  </si>
  <si>
    <t>Suma total</t>
  </si>
  <si>
    <t>Burndown</t>
  </si>
  <si>
    <t>BurnUp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</si>
</sst>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7">
    <font>
      <sz val="10.0"/>
      <color rgb="FF000000"/>
      <name val="Arial"/>
      <scheme val="minor"/>
    </font>
    <font>
      <color theme="1"/>
      <name val="Arial"/>
    </font>
    <font/>
    <font>
      <color rgb="FF1B1C1D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2" fontId="1" numFmtId="0" xfId="0" applyBorder="1" applyFont="1"/>
    <xf borderId="4" fillId="3" fontId="1" numFmtId="0" xfId="0" applyAlignment="1" applyBorder="1" applyFill="1" applyFont="1">
      <alignment shrinkToFit="0" vertical="center" wrapText="0"/>
    </xf>
    <xf borderId="4" fillId="0" fontId="1" numFmtId="0" xfId="0" applyBorder="1" applyFont="1"/>
    <xf borderId="4" fillId="0" fontId="1" numFmtId="0" xfId="0" applyAlignment="1" applyBorder="1" applyFont="1">
      <alignment horizontal="left"/>
    </xf>
    <xf borderId="4" fillId="0" fontId="3" numFmtId="0" xfId="0" applyAlignment="1" applyBorder="1" applyFont="1">
      <alignment shrinkToFit="0" vertical="bottom" wrapText="1"/>
    </xf>
    <xf borderId="0" fillId="0" fontId="1" numFmtId="164" xfId="0" applyAlignment="1" applyFont="1" applyNumberFormat="1">
      <alignment horizontal="left"/>
    </xf>
    <xf borderId="0" fillId="0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4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vertical="top" wrapText="1"/>
    </xf>
    <xf borderId="2" fillId="4" fontId="1" numFmtId="0" xfId="0" applyAlignment="1" applyBorder="1" applyFill="1" applyFont="1">
      <alignment horizontal="center"/>
    </xf>
    <xf borderId="5" fillId="2" fontId="1" numFmtId="0" xfId="0" applyBorder="1" applyFont="1"/>
    <xf borderId="5" fillId="3" fontId="1" numFmtId="0" xfId="0" applyAlignment="1" applyBorder="1" applyFont="1">
      <alignment shrinkToFit="0" vertical="center" wrapText="0"/>
    </xf>
    <xf borderId="4" fillId="4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left"/>
    </xf>
    <xf borderId="4" fillId="0" fontId="4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left" shrinkToFit="0" vertical="center" wrapText="0"/>
    </xf>
    <xf borderId="7" fillId="0" fontId="1" numFmtId="165" xfId="0" applyAlignment="1" applyBorder="1" applyFont="1" applyNumberFormat="1">
      <alignment horizontal="left" shrinkToFit="0" vertical="center" wrapText="0"/>
    </xf>
    <xf borderId="7" fillId="0" fontId="1" numFmtId="49" xfId="0" applyAlignment="1" applyBorder="1" applyFont="1" applyNumberFormat="1">
      <alignment horizontal="left" shrinkToFit="0" vertical="center" wrapText="0"/>
    </xf>
    <xf borderId="8" fillId="0" fontId="1" numFmtId="49" xfId="0" applyAlignment="1" applyBorder="1" applyFont="1" applyNumberFormat="1">
      <alignment horizontal="left" shrinkToFit="0" vertical="center" wrapText="0"/>
    </xf>
    <xf borderId="0" fillId="5" fontId="1" numFmtId="0" xfId="0" applyFill="1" applyFont="1"/>
    <xf borderId="0" fillId="6" fontId="1" numFmtId="0" xfId="0" applyAlignment="1" applyFill="1" applyFont="1">
      <alignment horizontal="center"/>
    </xf>
    <xf borderId="1" fillId="6" fontId="1" numFmtId="0" xfId="0" applyAlignment="1" applyBorder="1" applyFont="1">
      <alignment horizontal="center"/>
    </xf>
    <xf borderId="4" fillId="0" fontId="5" numFmtId="0" xfId="0" applyAlignment="1" applyBorder="1" applyFont="1">
      <alignment shrinkToFit="0" vertical="bottom" wrapText="0"/>
    </xf>
    <xf borderId="4" fillId="7" fontId="5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4" xfId="0" applyFont="1" applyNumberForma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abla de esfuerz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Burn-Down del esfuerzos del equipo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Real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15"/>
            <c:marker>
              <c:symbol val="none"/>
            </c:marker>
          </c:dPt>
          <c:dPt>
            <c:idx val="19"/>
            <c:marker>
              <c:symbol val="none"/>
            </c:marker>
          </c:dPt>
          <c:trendline>
            <c:name>Esfuerzo Estimado</c:name>
            <c:spPr>
              <a:ln w="1905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'Tabla de esfuerzo'!$C$30:$AJ$30</c:f>
            </c:strRef>
          </c:cat>
          <c:val>
            <c:numRef>
              <c:f>'Tabla de esfuerzo'!$C$32:$AJ$32</c:f>
              <c:numCache/>
            </c:numRef>
          </c:val>
          <c:smooth val="0"/>
        </c:ser>
        <c:axId val="1907702388"/>
        <c:axId val="1727151470"/>
      </c:lineChart>
      <c:catAx>
        <c:axId val="1907702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7151470"/>
      </c:catAx>
      <c:valAx>
        <c:axId val="1727151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07702388"/>
        <c:majorUnit val="50.0"/>
        <c:minorUnit val="16.6666666666666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41</xdr:row>
      <xdr:rowOff>19050</xdr:rowOff>
    </xdr:from>
    <xdr:ext cx="5715000" cy="3533775"/>
    <xdr:graphicFrame>
      <xdr:nvGraphicFramePr>
        <xdr:cNvPr id="144255617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952500</xdr:colOff>
      <xdr:row>41</xdr:row>
      <xdr:rowOff>19050</xdr:rowOff>
    </xdr:from>
    <xdr:ext cx="5715000" cy="3533775"/>
    <xdr:pic>
      <xdr:nvPicPr>
        <xdr:cNvPr id="208518633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:AK1" displayName="Table_1" name="Table_1" id="1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Tabla de esfuerz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5"/>
    <col customWidth="1" min="3" max="3" width="67.38"/>
    <col customWidth="1" min="4" max="6" width="12.63"/>
    <col customWidth="1" min="7" max="7" width="33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4"/>
      <c r="I2" s="4"/>
      <c r="J2" s="4"/>
    </row>
    <row r="3" ht="15.75" customHeight="1">
      <c r="A3" s="7">
        <v>2.0</v>
      </c>
      <c r="B3" s="8" t="s">
        <v>8</v>
      </c>
      <c r="C3" s="9" t="s">
        <v>9</v>
      </c>
      <c r="D3" s="7" t="s">
        <v>10</v>
      </c>
      <c r="E3" s="8">
        <v>4.0</v>
      </c>
      <c r="F3" s="8" t="s">
        <v>11</v>
      </c>
      <c r="G3" s="8" t="s">
        <v>12</v>
      </c>
      <c r="H3" s="10"/>
      <c r="I3" s="10"/>
      <c r="J3" s="11"/>
      <c r="K3" s="11"/>
      <c r="L3" s="4"/>
      <c r="M3" s="12"/>
      <c r="N3" s="10"/>
    </row>
    <row r="4" ht="15.75" customHeight="1">
      <c r="A4" s="7">
        <v>2.0</v>
      </c>
      <c r="B4" s="8" t="s">
        <v>8</v>
      </c>
      <c r="C4" s="7" t="s">
        <v>13</v>
      </c>
      <c r="D4" s="7" t="s">
        <v>10</v>
      </c>
      <c r="E4" s="8">
        <v>9.0</v>
      </c>
      <c r="F4" s="8" t="s">
        <v>11</v>
      </c>
      <c r="G4" s="8" t="s">
        <v>14</v>
      </c>
      <c r="H4" s="10"/>
      <c r="I4" s="10"/>
      <c r="J4" s="11"/>
      <c r="K4" s="11"/>
      <c r="L4" s="4"/>
      <c r="M4" s="12"/>
      <c r="N4" s="10"/>
    </row>
    <row r="5" ht="15.75" customHeight="1">
      <c r="A5" s="7">
        <v>2.0</v>
      </c>
      <c r="B5" s="8" t="s">
        <v>8</v>
      </c>
      <c r="C5" s="9" t="s">
        <v>15</v>
      </c>
      <c r="D5" s="7" t="s">
        <v>10</v>
      </c>
      <c r="E5" s="8">
        <v>7.0</v>
      </c>
      <c r="F5" s="8" t="s">
        <v>11</v>
      </c>
      <c r="G5" s="8" t="s">
        <v>12</v>
      </c>
      <c r="H5" s="10"/>
      <c r="I5" s="10"/>
      <c r="J5" s="11"/>
      <c r="K5" s="11"/>
      <c r="L5" s="4"/>
      <c r="M5" s="12"/>
      <c r="N5" s="10"/>
    </row>
    <row r="6" ht="15.75" customHeight="1">
      <c r="A6" s="7">
        <v>3.0</v>
      </c>
      <c r="B6" s="8" t="s">
        <v>8</v>
      </c>
      <c r="C6" s="9" t="s">
        <v>16</v>
      </c>
      <c r="D6" s="7" t="s">
        <v>10</v>
      </c>
      <c r="E6" s="8">
        <v>8.0</v>
      </c>
      <c r="F6" s="8" t="s">
        <v>11</v>
      </c>
      <c r="G6" s="8" t="s">
        <v>12</v>
      </c>
      <c r="H6" s="10"/>
      <c r="I6" s="10"/>
      <c r="J6" s="11"/>
      <c r="K6" s="11"/>
      <c r="L6" s="4"/>
      <c r="M6" s="12"/>
      <c r="N6" s="10"/>
    </row>
    <row r="7" ht="15.75" customHeight="1">
      <c r="A7" s="7">
        <v>2.0</v>
      </c>
      <c r="B7" s="8" t="s">
        <v>8</v>
      </c>
      <c r="C7" s="9" t="s">
        <v>17</v>
      </c>
      <c r="D7" s="7" t="s">
        <v>10</v>
      </c>
      <c r="E7" s="8">
        <v>10.0</v>
      </c>
      <c r="F7" s="8" t="s">
        <v>11</v>
      </c>
      <c r="G7" s="8" t="s">
        <v>18</v>
      </c>
      <c r="H7" s="10"/>
      <c r="I7" s="10"/>
      <c r="J7" s="11"/>
      <c r="K7" s="11"/>
      <c r="L7" s="4"/>
      <c r="M7" s="12"/>
      <c r="N7" s="10"/>
    </row>
    <row r="8" ht="15.75" customHeight="1">
      <c r="A8" s="7">
        <v>2.0</v>
      </c>
      <c r="B8" s="8" t="s">
        <v>19</v>
      </c>
      <c r="C8" s="8" t="s">
        <v>20</v>
      </c>
      <c r="D8" s="7" t="s">
        <v>21</v>
      </c>
      <c r="E8" s="8">
        <v>3.0</v>
      </c>
      <c r="F8" s="8" t="s">
        <v>11</v>
      </c>
      <c r="G8" s="8" t="s">
        <v>12</v>
      </c>
      <c r="H8" s="10"/>
      <c r="I8" s="10"/>
      <c r="J8" s="11"/>
      <c r="K8" s="11"/>
      <c r="L8" s="4"/>
      <c r="M8" s="12"/>
      <c r="N8" s="10"/>
    </row>
    <row r="9" ht="15.75" customHeight="1">
      <c r="A9" s="7">
        <v>3.0</v>
      </c>
      <c r="B9" s="8" t="s">
        <v>22</v>
      </c>
      <c r="C9" s="8" t="s">
        <v>23</v>
      </c>
      <c r="D9" s="7" t="s">
        <v>24</v>
      </c>
      <c r="E9" s="8">
        <v>6.0</v>
      </c>
      <c r="F9" s="8" t="s">
        <v>11</v>
      </c>
      <c r="G9" s="8" t="s">
        <v>12</v>
      </c>
      <c r="H9" s="10"/>
      <c r="I9" s="10"/>
      <c r="J9" s="11"/>
      <c r="K9" s="11"/>
      <c r="L9" s="4"/>
      <c r="M9" s="12"/>
      <c r="N9" s="10"/>
    </row>
    <row r="10" ht="15.75" customHeight="1">
      <c r="A10" s="7">
        <v>3.0</v>
      </c>
      <c r="B10" s="8" t="s">
        <v>22</v>
      </c>
      <c r="C10" s="8" t="s">
        <v>25</v>
      </c>
      <c r="D10" s="7" t="s">
        <v>24</v>
      </c>
      <c r="E10" s="8">
        <v>4.0</v>
      </c>
      <c r="F10" s="8" t="s">
        <v>11</v>
      </c>
      <c r="G10" s="8" t="s">
        <v>12</v>
      </c>
      <c r="H10" s="10"/>
      <c r="I10" s="10"/>
      <c r="J10" s="11"/>
      <c r="K10" s="11"/>
      <c r="L10" s="4"/>
      <c r="M10" s="12"/>
      <c r="N10" s="10"/>
    </row>
    <row r="11" ht="15.75" customHeight="1">
      <c r="A11" s="7">
        <v>3.0</v>
      </c>
      <c r="B11" s="8" t="s">
        <v>22</v>
      </c>
      <c r="C11" s="8" t="s">
        <v>26</v>
      </c>
      <c r="D11" s="7" t="s">
        <v>24</v>
      </c>
      <c r="E11" s="8">
        <v>1.0</v>
      </c>
      <c r="F11" s="8" t="s">
        <v>11</v>
      </c>
      <c r="G11" s="8" t="s">
        <v>12</v>
      </c>
      <c r="H11" s="10"/>
      <c r="I11" s="10"/>
      <c r="J11" s="11"/>
      <c r="K11" s="11"/>
      <c r="L11" s="4"/>
      <c r="M11" s="12"/>
      <c r="N11" s="10"/>
    </row>
    <row r="12" ht="15.75" customHeight="1">
      <c r="A12" s="7">
        <v>2.0</v>
      </c>
      <c r="B12" s="8" t="s">
        <v>22</v>
      </c>
      <c r="C12" s="8" t="s">
        <v>27</v>
      </c>
      <c r="D12" s="7" t="s">
        <v>24</v>
      </c>
      <c r="E12" s="8">
        <v>1.0</v>
      </c>
      <c r="F12" s="8" t="s">
        <v>11</v>
      </c>
      <c r="G12" s="8" t="s">
        <v>12</v>
      </c>
      <c r="H12" s="10"/>
      <c r="I12" s="10"/>
      <c r="J12" s="11"/>
      <c r="K12" s="11"/>
      <c r="L12" s="4"/>
      <c r="M12" s="12"/>
      <c r="N12" s="10"/>
    </row>
    <row r="13" ht="15.75" customHeight="1">
      <c r="A13" s="7">
        <v>2.0</v>
      </c>
      <c r="B13" s="8" t="s">
        <v>28</v>
      </c>
      <c r="C13" s="7" t="s">
        <v>29</v>
      </c>
      <c r="D13" s="7" t="s">
        <v>24</v>
      </c>
      <c r="E13" s="8">
        <v>3.0</v>
      </c>
      <c r="F13" s="8" t="s">
        <v>11</v>
      </c>
      <c r="G13" s="7" t="s">
        <v>12</v>
      </c>
      <c r="H13" s="10"/>
      <c r="I13" s="10"/>
      <c r="J13" s="11"/>
      <c r="K13" s="11"/>
      <c r="L13" s="4"/>
      <c r="M13" s="12"/>
      <c r="N13" s="10"/>
    </row>
    <row r="14" ht="15.75" customHeight="1">
      <c r="A14" s="7">
        <v>2.0</v>
      </c>
      <c r="B14" s="7" t="s">
        <v>30</v>
      </c>
      <c r="C14" s="7" t="s">
        <v>31</v>
      </c>
      <c r="D14" s="13" t="s">
        <v>21</v>
      </c>
      <c r="E14" s="8">
        <v>3.0</v>
      </c>
      <c r="F14" s="8" t="s">
        <v>11</v>
      </c>
      <c r="G14" s="7" t="s">
        <v>12</v>
      </c>
      <c r="H14" s="10"/>
      <c r="I14" s="10"/>
      <c r="J14" s="11"/>
      <c r="K14" s="11"/>
      <c r="L14" s="4"/>
      <c r="M14" s="12"/>
      <c r="N14" s="10"/>
    </row>
    <row r="15" ht="15.75" customHeight="1">
      <c r="A15" s="7">
        <v>3.0</v>
      </c>
      <c r="B15" s="7" t="s">
        <v>30</v>
      </c>
      <c r="C15" s="7" t="s">
        <v>32</v>
      </c>
      <c r="D15" s="7" t="s">
        <v>24</v>
      </c>
      <c r="E15" s="8">
        <v>3.0</v>
      </c>
      <c r="F15" s="8" t="s">
        <v>11</v>
      </c>
      <c r="G15" s="7" t="s">
        <v>33</v>
      </c>
      <c r="H15" s="10"/>
      <c r="I15" s="10"/>
      <c r="J15" s="11"/>
      <c r="K15" s="11"/>
      <c r="L15" s="4"/>
      <c r="M15" s="12"/>
      <c r="N15" s="10"/>
    </row>
    <row r="16" ht="15.75" customHeight="1">
      <c r="A16" s="7">
        <v>3.0</v>
      </c>
      <c r="B16" s="7" t="s">
        <v>30</v>
      </c>
      <c r="C16" s="7" t="s">
        <v>34</v>
      </c>
      <c r="D16" s="7" t="s">
        <v>24</v>
      </c>
      <c r="E16" s="8">
        <v>2.0</v>
      </c>
      <c r="F16" s="8" t="s">
        <v>11</v>
      </c>
      <c r="G16" s="7" t="s">
        <v>33</v>
      </c>
      <c r="H16" s="10"/>
      <c r="I16" s="10"/>
      <c r="J16" s="11"/>
      <c r="K16" s="11"/>
      <c r="L16" s="4"/>
      <c r="M16" s="12"/>
      <c r="N16" s="10"/>
    </row>
    <row r="17" ht="15.75" customHeight="1">
      <c r="A17" s="7">
        <v>3.0</v>
      </c>
      <c r="B17" s="7" t="s">
        <v>30</v>
      </c>
      <c r="C17" s="7" t="s">
        <v>35</v>
      </c>
      <c r="D17" s="13" t="s">
        <v>21</v>
      </c>
      <c r="E17" s="8">
        <v>2.0</v>
      </c>
      <c r="F17" s="8" t="s">
        <v>11</v>
      </c>
      <c r="G17" s="7" t="s">
        <v>33</v>
      </c>
      <c r="H17" s="10"/>
      <c r="I17" s="10"/>
      <c r="J17" s="11"/>
      <c r="K17" s="11"/>
      <c r="L17" s="4"/>
      <c r="M17" s="12"/>
      <c r="N17" s="10"/>
    </row>
    <row r="18" ht="15.75" customHeight="1">
      <c r="A18" s="7">
        <v>2.0</v>
      </c>
      <c r="B18" s="7" t="s">
        <v>30</v>
      </c>
      <c r="C18" s="7" t="s">
        <v>36</v>
      </c>
      <c r="D18" s="13" t="s">
        <v>21</v>
      </c>
      <c r="E18" s="8">
        <v>2.0</v>
      </c>
      <c r="F18" s="8" t="s">
        <v>11</v>
      </c>
      <c r="G18" s="7" t="s">
        <v>33</v>
      </c>
      <c r="H18" s="10"/>
      <c r="I18" s="10"/>
      <c r="J18" s="11"/>
      <c r="K18" s="11"/>
      <c r="L18" s="4"/>
      <c r="M18" s="12"/>
      <c r="N18" s="10"/>
    </row>
    <row r="19" ht="15.75" customHeight="1">
      <c r="A19" s="7">
        <v>3.0</v>
      </c>
      <c r="B19" s="7" t="s">
        <v>30</v>
      </c>
      <c r="C19" s="7" t="s">
        <v>37</v>
      </c>
      <c r="D19" s="13" t="s">
        <v>21</v>
      </c>
      <c r="E19" s="8">
        <v>1.0</v>
      </c>
      <c r="F19" s="8" t="s">
        <v>11</v>
      </c>
      <c r="G19" s="7" t="s">
        <v>33</v>
      </c>
      <c r="H19" s="10"/>
      <c r="I19" s="10"/>
      <c r="J19" s="11"/>
      <c r="K19" s="11"/>
      <c r="L19" s="4"/>
      <c r="M19" s="12"/>
      <c r="N19" s="10"/>
    </row>
    <row r="20" ht="15.75" customHeight="1">
      <c r="A20" s="7">
        <v>3.0</v>
      </c>
      <c r="B20" s="7" t="s">
        <v>30</v>
      </c>
      <c r="C20" s="7" t="s">
        <v>38</v>
      </c>
      <c r="D20" s="7" t="s">
        <v>10</v>
      </c>
      <c r="E20" s="8">
        <v>1.0</v>
      </c>
      <c r="F20" s="8" t="s">
        <v>11</v>
      </c>
      <c r="G20" s="7" t="s">
        <v>33</v>
      </c>
      <c r="H20" s="10"/>
      <c r="I20" s="10"/>
      <c r="J20" s="11"/>
      <c r="K20" s="11"/>
      <c r="L20" s="4"/>
      <c r="M20" s="12"/>
      <c r="N20" s="10"/>
    </row>
    <row r="21" ht="15.75" customHeight="1">
      <c r="A21" s="7">
        <v>3.0</v>
      </c>
      <c r="B21" s="7" t="s">
        <v>30</v>
      </c>
      <c r="C21" s="7" t="s">
        <v>39</v>
      </c>
      <c r="D21" s="7" t="s">
        <v>10</v>
      </c>
      <c r="E21" s="8">
        <v>2.0</v>
      </c>
      <c r="F21" s="8" t="s">
        <v>11</v>
      </c>
      <c r="G21" s="7" t="s">
        <v>33</v>
      </c>
      <c r="H21" s="10"/>
      <c r="I21" s="10"/>
      <c r="J21" s="11"/>
      <c r="K21" s="11"/>
      <c r="L21" s="4"/>
      <c r="M21" s="12"/>
      <c r="N21" s="10"/>
    </row>
    <row r="22" ht="15.75" customHeight="1">
      <c r="A22" s="7">
        <v>2.0</v>
      </c>
      <c r="B22" s="7" t="s">
        <v>30</v>
      </c>
      <c r="C22" s="7" t="s">
        <v>40</v>
      </c>
      <c r="D22" s="7" t="s">
        <v>10</v>
      </c>
      <c r="E22" s="8">
        <v>2.0</v>
      </c>
      <c r="F22" s="8" t="s">
        <v>11</v>
      </c>
      <c r="G22" s="7" t="s">
        <v>33</v>
      </c>
      <c r="H22" s="10"/>
      <c r="I22" s="10"/>
      <c r="J22" s="11"/>
      <c r="K22" s="11"/>
      <c r="L22" s="4"/>
      <c r="M22" s="12"/>
      <c r="N22" s="10"/>
    </row>
    <row r="23" ht="15.75" customHeight="1">
      <c r="A23" s="7">
        <v>2.0</v>
      </c>
      <c r="B23" s="7" t="s">
        <v>30</v>
      </c>
      <c r="C23" s="7" t="s">
        <v>41</v>
      </c>
      <c r="D23" s="7" t="s">
        <v>10</v>
      </c>
      <c r="E23" s="8">
        <v>2.0</v>
      </c>
      <c r="F23" s="8" t="s">
        <v>11</v>
      </c>
      <c r="G23" s="7" t="s">
        <v>33</v>
      </c>
      <c r="H23" s="10"/>
      <c r="I23" s="10"/>
      <c r="J23" s="11"/>
      <c r="K23" s="11"/>
      <c r="L23" s="4"/>
      <c r="M23" s="12"/>
      <c r="N23" s="10"/>
    </row>
    <row r="24" ht="15.75" customHeight="1">
      <c r="A24" s="7">
        <v>3.0</v>
      </c>
      <c r="B24" s="7" t="s">
        <v>30</v>
      </c>
      <c r="C24" s="7" t="s">
        <v>42</v>
      </c>
      <c r="D24" s="7" t="s">
        <v>10</v>
      </c>
      <c r="E24" s="8">
        <v>1.5</v>
      </c>
      <c r="F24" s="8" t="s">
        <v>11</v>
      </c>
      <c r="G24" s="7" t="s">
        <v>33</v>
      </c>
      <c r="H24" s="10"/>
      <c r="I24" s="10"/>
      <c r="J24" s="11"/>
      <c r="K24" s="11"/>
      <c r="L24" s="4"/>
      <c r="M24" s="12"/>
      <c r="N24" s="10"/>
    </row>
    <row r="25" ht="15.75" customHeight="1">
      <c r="A25" s="7">
        <v>3.0</v>
      </c>
      <c r="B25" s="7" t="s">
        <v>30</v>
      </c>
      <c r="C25" s="7" t="s">
        <v>43</v>
      </c>
      <c r="D25" s="7" t="s">
        <v>24</v>
      </c>
      <c r="E25" s="8">
        <v>1.0</v>
      </c>
      <c r="F25" s="8" t="s">
        <v>11</v>
      </c>
      <c r="G25" s="7" t="s">
        <v>33</v>
      </c>
      <c r="H25" s="10"/>
      <c r="I25" s="10"/>
      <c r="J25" s="11"/>
      <c r="K25" s="11"/>
      <c r="L25" s="4"/>
      <c r="M25" s="12"/>
      <c r="N25" s="10"/>
    </row>
    <row r="26" ht="15.75" customHeight="1">
      <c r="A26" s="7">
        <v>3.0</v>
      </c>
      <c r="B26" s="7" t="s">
        <v>30</v>
      </c>
      <c r="C26" s="7" t="s">
        <v>44</v>
      </c>
      <c r="D26" s="7" t="s">
        <v>24</v>
      </c>
      <c r="E26" s="8">
        <v>4.0</v>
      </c>
      <c r="F26" s="8" t="s">
        <v>11</v>
      </c>
      <c r="G26" s="7" t="s">
        <v>33</v>
      </c>
      <c r="H26" s="10"/>
      <c r="I26" s="10"/>
      <c r="J26" s="11"/>
      <c r="K26" s="11"/>
      <c r="L26" s="4"/>
      <c r="M26" s="12"/>
      <c r="N26" s="10"/>
    </row>
    <row r="27" ht="15.75" customHeight="1">
      <c r="A27" s="14"/>
      <c r="B27" s="15"/>
      <c r="C27" s="16"/>
      <c r="D27" s="14"/>
      <c r="E27" s="15"/>
      <c r="F27" s="15"/>
      <c r="G27" s="15"/>
      <c r="H27" s="10"/>
      <c r="I27" s="10"/>
      <c r="J27" s="11"/>
      <c r="K27" s="11"/>
      <c r="L27" s="4"/>
      <c r="M27" s="12"/>
      <c r="N27" s="10"/>
    </row>
    <row r="28" ht="15.75" customHeight="1">
      <c r="A28" s="14"/>
      <c r="B28" s="15"/>
      <c r="C28" s="16"/>
      <c r="D28" s="14"/>
      <c r="E28" s="15"/>
      <c r="F28" s="15"/>
      <c r="G28" s="15"/>
      <c r="H28" s="10"/>
      <c r="I28" s="10"/>
      <c r="J28" s="11"/>
      <c r="K28" s="11"/>
      <c r="L28" s="4"/>
      <c r="M28" s="12"/>
      <c r="N28" s="10"/>
    </row>
    <row r="29" ht="15.75" customHeight="1">
      <c r="A29" s="14"/>
      <c r="B29" s="15"/>
      <c r="C29" s="16"/>
      <c r="D29" s="14"/>
      <c r="E29" s="15"/>
      <c r="F29" s="15"/>
      <c r="G29" s="15"/>
      <c r="H29" s="10"/>
      <c r="I29" s="10"/>
      <c r="J29" s="11"/>
      <c r="K29" s="11"/>
      <c r="L29" s="4"/>
      <c r="M29" s="12"/>
      <c r="N29" s="10"/>
    </row>
    <row r="30" ht="15.75" customHeight="1">
      <c r="A30" s="14"/>
      <c r="B30" s="15"/>
      <c r="C30" s="16"/>
      <c r="D30" s="14"/>
      <c r="E30" s="15"/>
      <c r="F30" s="15"/>
      <c r="G30" s="15"/>
      <c r="H30" s="10"/>
      <c r="I30" s="10"/>
      <c r="J30" s="11"/>
      <c r="K30" s="11"/>
      <c r="L30" s="4"/>
      <c r="M30" s="12"/>
      <c r="N30" s="10"/>
    </row>
    <row r="31" ht="15.75" customHeight="1">
      <c r="A31" s="14"/>
      <c r="B31" s="15"/>
      <c r="C31" s="16"/>
      <c r="D31" s="14"/>
      <c r="E31" s="15"/>
      <c r="F31" s="15"/>
      <c r="G31" s="15"/>
      <c r="H31" s="10"/>
      <c r="I31" s="10"/>
      <c r="J31" s="11"/>
      <c r="K31" s="11"/>
      <c r="L31" s="4"/>
      <c r="M31" s="12"/>
      <c r="N31" s="10"/>
    </row>
    <row r="32" ht="15.75" customHeight="1">
      <c r="A32" s="14"/>
      <c r="B32" s="15"/>
      <c r="C32" s="15"/>
      <c r="D32" s="14"/>
      <c r="E32" s="15"/>
      <c r="F32" s="15"/>
      <c r="G32" s="15"/>
      <c r="H32" s="10"/>
      <c r="I32" s="10"/>
      <c r="J32" s="11"/>
      <c r="K32" s="11"/>
      <c r="L32" s="4"/>
      <c r="M32" s="12"/>
      <c r="N32" s="10"/>
    </row>
    <row r="33" ht="15.75" customHeight="1">
      <c r="A33" s="14"/>
      <c r="B33" s="15"/>
      <c r="C33" s="15"/>
      <c r="D33" s="14"/>
      <c r="E33" s="15"/>
      <c r="F33" s="15"/>
      <c r="G33" s="15"/>
      <c r="H33" s="10"/>
      <c r="I33" s="10"/>
      <c r="J33" s="11"/>
      <c r="K33" s="11"/>
      <c r="L33" s="4"/>
      <c r="M33" s="12"/>
      <c r="N33" s="10"/>
      <c r="O33" s="17"/>
      <c r="P33" s="15"/>
      <c r="Q33" s="15"/>
      <c r="R33" s="15"/>
    </row>
    <row r="34" ht="15.75" customHeight="1">
      <c r="A34" s="14"/>
      <c r="B34" s="15"/>
      <c r="C34" s="15"/>
      <c r="D34" s="14"/>
      <c r="E34" s="15"/>
      <c r="F34" s="15"/>
      <c r="G34" s="15"/>
      <c r="H34" s="10"/>
      <c r="I34" s="10"/>
      <c r="J34" s="11"/>
      <c r="K34" s="11"/>
      <c r="L34" s="4"/>
      <c r="M34" s="12"/>
      <c r="N34" s="10"/>
      <c r="O34" s="17"/>
      <c r="P34" s="15"/>
      <c r="Q34" s="15"/>
      <c r="R34" s="15"/>
    </row>
    <row r="35" ht="15.75" customHeight="1">
      <c r="A35" s="14"/>
      <c r="B35" s="15"/>
      <c r="C35" s="15"/>
      <c r="D35" s="14"/>
      <c r="E35" s="15"/>
      <c r="F35" s="15"/>
      <c r="G35" s="15"/>
      <c r="H35" s="10"/>
      <c r="I35" s="10"/>
      <c r="J35" s="11"/>
      <c r="K35" s="11"/>
      <c r="L35" s="4"/>
      <c r="M35" s="12"/>
      <c r="N35" s="10"/>
      <c r="O35" s="17"/>
      <c r="P35" s="15"/>
      <c r="Q35" s="15"/>
      <c r="R35" s="15"/>
    </row>
    <row r="36" ht="15.75" customHeight="1">
      <c r="A36" s="14"/>
      <c r="B36" s="15"/>
      <c r="C36" s="15"/>
      <c r="D36" s="14"/>
      <c r="E36" s="15"/>
      <c r="F36" s="15"/>
      <c r="G36" s="15"/>
      <c r="H36" s="10"/>
      <c r="I36" s="10"/>
      <c r="J36" s="11"/>
      <c r="K36" s="11"/>
      <c r="L36" s="4"/>
      <c r="M36" s="12"/>
      <c r="N36" s="10"/>
      <c r="O36" s="17"/>
      <c r="P36" s="15"/>
      <c r="Q36" s="15"/>
      <c r="R36" s="15"/>
      <c r="S36" s="15"/>
      <c r="T36" s="15"/>
      <c r="U36" s="15"/>
      <c r="V36" s="15"/>
      <c r="W36" s="15"/>
      <c r="X36" s="15"/>
    </row>
    <row r="37" ht="15.75" customHeight="1">
      <c r="A37" s="14"/>
      <c r="B37" s="15"/>
      <c r="C37" s="14"/>
      <c r="D37" s="14"/>
      <c r="E37" s="15"/>
      <c r="F37" s="15"/>
      <c r="G37" s="14"/>
      <c r="H37" s="10"/>
      <c r="I37" s="10"/>
      <c r="J37" s="11"/>
      <c r="K37" s="11"/>
      <c r="L37" s="4"/>
      <c r="M37" s="12"/>
      <c r="N37" s="10"/>
      <c r="O37" s="17"/>
      <c r="P37" s="15"/>
      <c r="Q37" s="15"/>
      <c r="R37" s="15"/>
      <c r="S37" s="15"/>
      <c r="T37" s="15"/>
      <c r="U37" s="15"/>
      <c r="V37" s="15"/>
      <c r="W37" s="15"/>
      <c r="X37" s="15"/>
    </row>
    <row r="38" ht="15.75" customHeight="1">
      <c r="A38" s="14"/>
      <c r="B38" s="14"/>
      <c r="C38" s="14"/>
      <c r="D38" s="18"/>
      <c r="E38" s="15"/>
      <c r="F38" s="15"/>
      <c r="G38" s="14"/>
      <c r="H38" s="10"/>
      <c r="I38" s="10"/>
      <c r="J38" s="11"/>
      <c r="K38" s="11"/>
      <c r="L38" s="4"/>
      <c r="M38" s="12"/>
      <c r="N38" s="10"/>
      <c r="O38" s="17"/>
      <c r="P38" s="15"/>
      <c r="Q38" s="15"/>
      <c r="R38" s="15"/>
      <c r="S38" s="15"/>
      <c r="T38" s="15"/>
      <c r="U38" s="15"/>
      <c r="V38" s="15"/>
      <c r="W38" s="15"/>
      <c r="X38" s="15"/>
    </row>
    <row r="39" ht="15.75" customHeight="1">
      <c r="A39" s="14"/>
      <c r="B39" s="14"/>
      <c r="C39" s="14"/>
      <c r="D39" s="14"/>
      <c r="E39" s="15"/>
      <c r="F39" s="15"/>
      <c r="G39" s="14"/>
      <c r="H39" s="10"/>
      <c r="I39" s="10"/>
      <c r="J39" s="11"/>
      <c r="K39" s="11"/>
      <c r="L39" s="4"/>
      <c r="M39" s="12"/>
      <c r="N39" s="10"/>
      <c r="O39" s="17"/>
      <c r="P39" s="15"/>
      <c r="Q39" s="15"/>
      <c r="R39" s="15"/>
      <c r="S39" s="15"/>
      <c r="T39" s="15"/>
      <c r="U39" s="15"/>
      <c r="V39" s="15"/>
      <c r="W39" s="15"/>
      <c r="X39" s="15"/>
    </row>
    <row r="40" ht="15.75" customHeight="1">
      <c r="A40" s="14"/>
      <c r="B40" s="14"/>
      <c r="C40" s="14"/>
      <c r="D40" s="14"/>
      <c r="E40" s="15"/>
      <c r="F40" s="15"/>
      <c r="G40" s="14"/>
      <c r="H40" s="10"/>
      <c r="I40" s="10"/>
      <c r="J40" s="11"/>
      <c r="K40" s="11"/>
      <c r="L40" s="4"/>
      <c r="M40" s="12"/>
      <c r="N40" s="10"/>
      <c r="O40" s="17"/>
      <c r="P40" s="15"/>
      <c r="Q40" s="15"/>
      <c r="R40" s="15"/>
      <c r="S40" s="15"/>
      <c r="T40" s="15"/>
      <c r="U40" s="15"/>
      <c r="V40" s="15"/>
      <c r="W40" s="15"/>
      <c r="X40" s="15"/>
    </row>
    <row r="41" ht="15.75" customHeight="1">
      <c r="A41" s="14"/>
      <c r="B41" s="14"/>
      <c r="C41" s="14"/>
      <c r="D41" s="18"/>
      <c r="E41" s="15"/>
      <c r="F41" s="15"/>
      <c r="G41" s="14"/>
      <c r="H41" s="10"/>
      <c r="I41" s="10"/>
      <c r="J41" s="11"/>
      <c r="K41" s="11"/>
      <c r="L41" s="4"/>
      <c r="M41" s="12"/>
      <c r="N41" s="10"/>
      <c r="O41" s="17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75" customHeight="1">
      <c r="A42" s="14"/>
      <c r="B42" s="14"/>
      <c r="C42" s="14"/>
      <c r="D42" s="18"/>
      <c r="E42" s="15"/>
      <c r="F42" s="15"/>
      <c r="G42" s="14"/>
      <c r="H42" s="10"/>
      <c r="I42" s="10"/>
      <c r="J42" s="11"/>
      <c r="K42" s="11"/>
      <c r="L42" s="4"/>
      <c r="M42" s="12"/>
      <c r="N42" s="10"/>
      <c r="O42" s="17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75" customHeight="1">
      <c r="A43" s="14"/>
      <c r="B43" s="14"/>
      <c r="C43" s="14"/>
      <c r="D43" s="18"/>
      <c r="E43" s="15"/>
      <c r="F43" s="15"/>
      <c r="G43" s="14"/>
      <c r="H43" s="10"/>
      <c r="I43" s="10"/>
      <c r="J43" s="11"/>
      <c r="K43" s="11"/>
      <c r="L43" s="4"/>
      <c r="M43" s="12"/>
      <c r="N43" s="10"/>
      <c r="O43" s="17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5.75" customHeight="1">
      <c r="A44" s="14"/>
      <c r="B44" s="14"/>
      <c r="C44" s="14"/>
      <c r="D44" s="14"/>
      <c r="E44" s="15"/>
      <c r="F44" s="15"/>
      <c r="G44" s="14"/>
      <c r="H44" s="10"/>
      <c r="I44" s="10"/>
      <c r="J44" s="11"/>
      <c r="K44" s="11"/>
      <c r="L44" s="4"/>
      <c r="M44" s="12"/>
      <c r="N44" s="10"/>
      <c r="O44" s="17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75" customHeight="1">
      <c r="A45" s="14"/>
      <c r="B45" s="14"/>
      <c r="C45" s="14"/>
      <c r="D45" s="14"/>
      <c r="E45" s="15"/>
      <c r="F45" s="15"/>
      <c r="G45" s="14"/>
      <c r="H45" s="10"/>
      <c r="I45" s="10"/>
      <c r="J45" s="11"/>
      <c r="K45" s="11"/>
      <c r="L45" s="4"/>
      <c r="M45" s="12"/>
      <c r="N45" s="10"/>
      <c r="O45" s="17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5.75" customHeight="1">
      <c r="A46" s="14"/>
      <c r="B46" s="14"/>
      <c r="C46" s="14"/>
      <c r="D46" s="14"/>
      <c r="E46" s="15"/>
      <c r="F46" s="15"/>
      <c r="G46" s="14"/>
      <c r="H46" s="10"/>
      <c r="I46" s="10"/>
      <c r="J46" s="11"/>
      <c r="K46" s="11"/>
      <c r="L46" s="4"/>
      <c r="M46" s="12"/>
      <c r="N46" s="10"/>
      <c r="O46" s="17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5.75" customHeight="1">
      <c r="A47" s="14"/>
      <c r="B47" s="14"/>
      <c r="C47" s="14"/>
      <c r="D47" s="14"/>
      <c r="E47" s="15"/>
      <c r="F47" s="15"/>
      <c r="G47" s="14"/>
      <c r="H47" s="10"/>
      <c r="I47" s="10"/>
      <c r="J47" s="11"/>
      <c r="K47" s="11"/>
      <c r="L47" s="4"/>
      <c r="M47" s="12"/>
      <c r="N47" s="10"/>
      <c r="O47" s="17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5.75" customHeight="1">
      <c r="A48" s="14"/>
      <c r="B48" s="14"/>
      <c r="C48" s="14"/>
      <c r="D48" s="14"/>
      <c r="E48" s="15"/>
      <c r="F48" s="15"/>
      <c r="G48" s="14"/>
      <c r="H48" s="10"/>
      <c r="I48" s="10"/>
      <c r="J48" s="11"/>
      <c r="K48" s="11"/>
      <c r="L48" s="4"/>
      <c r="M48" s="12"/>
      <c r="N48" s="10"/>
      <c r="O48" s="17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5.75" customHeight="1">
      <c r="A49" s="14"/>
      <c r="B49" s="14"/>
      <c r="C49" s="14"/>
      <c r="D49" s="14"/>
      <c r="E49" s="15"/>
      <c r="F49" s="15"/>
      <c r="G49" s="14"/>
      <c r="H49" s="10"/>
      <c r="I49" s="10"/>
      <c r="J49" s="11"/>
      <c r="K49" s="11"/>
      <c r="L49" s="4"/>
      <c r="M49" s="12"/>
      <c r="N49" s="10"/>
      <c r="O49" s="17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5.75" customHeight="1">
      <c r="A50" s="14"/>
      <c r="B50" s="14"/>
      <c r="C50" s="14"/>
      <c r="D50" s="14"/>
      <c r="E50" s="15"/>
      <c r="F50" s="15"/>
      <c r="G50" s="14"/>
      <c r="H50" s="10"/>
      <c r="I50" s="10"/>
      <c r="J50" s="11"/>
      <c r="K50" s="11"/>
      <c r="L50" s="4"/>
      <c r="M50" s="12"/>
      <c r="N50" s="10"/>
      <c r="O50" s="17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5.75" customHeight="1">
      <c r="A51" s="14"/>
      <c r="B51" s="15"/>
      <c r="C51" s="14"/>
      <c r="D51" s="14"/>
      <c r="E51" s="15"/>
      <c r="F51" s="14"/>
      <c r="G51" s="14"/>
      <c r="H51" s="10"/>
      <c r="I51" s="10"/>
      <c r="J51" s="11"/>
      <c r="K51" s="11"/>
      <c r="L51" s="4"/>
      <c r="M51" s="12"/>
      <c r="N51" s="10"/>
      <c r="O51" s="17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5.75" customHeight="1">
      <c r="A52" s="14"/>
      <c r="B52" s="15"/>
      <c r="C52" s="14"/>
      <c r="D52" s="14"/>
      <c r="E52" s="15"/>
      <c r="F52" s="14"/>
      <c r="G52" s="14"/>
      <c r="H52" s="10"/>
      <c r="I52" s="10"/>
      <c r="J52" s="11"/>
      <c r="K52" s="11"/>
      <c r="L52" s="4"/>
      <c r="M52" s="12"/>
      <c r="N52" s="10"/>
      <c r="O52" s="17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5.75" customHeight="1">
      <c r="A53" s="14"/>
      <c r="B53" s="15"/>
      <c r="C53" s="14"/>
      <c r="D53" s="14"/>
      <c r="E53" s="15"/>
      <c r="F53" s="14"/>
      <c r="G53" s="14"/>
      <c r="H53" s="10"/>
      <c r="I53" s="10"/>
      <c r="J53" s="11"/>
      <c r="K53" s="11"/>
      <c r="L53" s="4"/>
      <c r="M53" s="12"/>
      <c r="N53" s="10"/>
      <c r="O53" s="17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5.75" customHeight="1">
      <c r="A54" s="14"/>
      <c r="B54" s="15"/>
      <c r="C54" s="14"/>
      <c r="D54" s="14"/>
      <c r="E54" s="15"/>
      <c r="F54" s="14"/>
      <c r="G54" s="14"/>
      <c r="H54" s="10"/>
      <c r="I54" s="10"/>
      <c r="J54" s="11"/>
      <c r="K54" s="11"/>
      <c r="L54" s="4"/>
      <c r="M54" s="12"/>
      <c r="N54" s="10"/>
      <c r="O54" s="17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75" customHeight="1">
      <c r="A55" s="14"/>
      <c r="B55" s="15"/>
      <c r="C55" s="14"/>
      <c r="D55" s="14"/>
      <c r="E55" s="15"/>
      <c r="F55" s="14"/>
      <c r="G55" s="14"/>
      <c r="H55" s="10"/>
      <c r="I55" s="10"/>
      <c r="J55" s="11"/>
      <c r="K55" s="11"/>
      <c r="L55" s="4"/>
      <c r="M55" s="12"/>
      <c r="N55" s="10"/>
      <c r="O55" s="17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5.75" customHeight="1">
      <c r="A56" s="14"/>
      <c r="B56" s="15"/>
      <c r="C56" s="14"/>
      <c r="D56" s="14"/>
      <c r="E56" s="15"/>
      <c r="F56" s="14"/>
      <c r="G56" s="14"/>
      <c r="H56" s="10"/>
      <c r="I56" s="10"/>
      <c r="J56" s="11"/>
      <c r="K56" s="11"/>
      <c r="L56" s="4"/>
      <c r="M56" s="12"/>
      <c r="N56" s="10"/>
      <c r="O56" s="17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5.75" customHeight="1">
      <c r="A57" s="14"/>
      <c r="B57" s="15"/>
      <c r="C57" s="14"/>
      <c r="D57" s="14"/>
      <c r="E57" s="15"/>
      <c r="F57" s="14"/>
      <c r="G57" s="14"/>
      <c r="H57" s="10"/>
      <c r="I57" s="10"/>
      <c r="J57" s="11"/>
      <c r="K57" s="11"/>
      <c r="L57" s="4"/>
      <c r="M57" s="12"/>
      <c r="N57" s="10"/>
      <c r="O57" s="17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5.75" customHeight="1">
      <c r="A58" s="14"/>
      <c r="B58" s="14"/>
      <c r="C58" s="14"/>
      <c r="D58" s="14"/>
      <c r="E58" s="15"/>
      <c r="F58" s="14"/>
      <c r="G58" s="14"/>
      <c r="H58" s="10"/>
      <c r="I58" s="10"/>
      <c r="J58" s="11"/>
      <c r="K58" s="11"/>
      <c r="L58" s="4"/>
      <c r="M58" s="12"/>
      <c r="N58" s="10"/>
      <c r="O58" s="17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5.75" customHeight="1">
      <c r="A59" s="14"/>
      <c r="B59" s="14"/>
      <c r="C59" s="14"/>
      <c r="D59" s="14"/>
      <c r="E59" s="15"/>
      <c r="F59" s="14"/>
      <c r="G59" s="14"/>
      <c r="H59" s="10"/>
      <c r="I59" s="10"/>
      <c r="J59" s="11"/>
      <c r="K59" s="11"/>
      <c r="L59" s="4"/>
      <c r="M59" s="12"/>
      <c r="N59" s="10"/>
      <c r="O59" s="17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5.75" customHeight="1">
      <c r="A60" s="14"/>
      <c r="B60" s="14"/>
      <c r="C60" s="14"/>
      <c r="D60" s="14"/>
      <c r="E60" s="15"/>
      <c r="F60" s="14"/>
      <c r="G60" s="14"/>
      <c r="H60" s="10"/>
      <c r="I60" s="10"/>
      <c r="J60" s="11"/>
      <c r="K60" s="11"/>
      <c r="L60" s="4"/>
      <c r="M60" s="12"/>
      <c r="N60" s="10"/>
      <c r="O60" s="17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5.75" customHeight="1">
      <c r="A61" s="14"/>
      <c r="B61" s="14"/>
      <c r="C61" s="14"/>
      <c r="D61" s="14"/>
      <c r="E61" s="15"/>
      <c r="F61" s="14"/>
      <c r="G61" s="14"/>
      <c r="H61" s="10"/>
      <c r="I61" s="10"/>
      <c r="J61" s="11"/>
      <c r="K61" s="11"/>
      <c r="L61" s="4"/>
      <c r="M61" s="12"/>
      <c r="N61" s="10"/>
      <c r="O61" s="17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5.75" customHeight="1">
      <c r="A62" s="14"/>
      <c r="B62" s="14"/>
      <c r="C62" s="14"/>
      <c r="D62" s="14"/>
      <c r="E62" s="15"/>
      <c r="F62" s="14"/>
      <c r="G62" s="14"/>
      <c r="H62" s="10"/>
      <c r="I62" s="10"/>
      <c r="J62" s="11"/>
      <c r="K62" s="11"/>
      <c r="L62" s="4"/>
      <c r="M62" s="12"/>
      <c r="N62" s="10"/>
      <c r="O62" s="17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5.75" customHeight="1">
      <c r="A63" s="14"/>
      <c r="B63" s="14"/>
      <c r="C63" s="14"/>
      <c r="D63" s="14"/>
      <c r="E63" s="15"/>
      <c r="F63" s="14"/>
      <c r="G63" s="14"/>
      <c r="H63" s="10"/>
      <c r="I63" s="10"/>
      <c r="J63" s="11"/>
      <c r="K63" s="11"/>
      <c r="L63" s="4"/>
      <c r="M63" s="12"/>
      <c r="N63" s="10"/>
      <c r="O63" s="17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5.75" customHeight="1">
      <c r="A64" s="14"/>
      <c r="B64" s="14"/>
      <c r="C64" s="14"/>
      <c r="D64" s="14"/>
      <c r="E64" s="15"/>
      <c r="F64" s="14"/>
      <c r="G64" s="14"/>
      <c r="H64" s="10"/>
      <c r="I64" s="10"/>
      <c r="J64" s="11"/>
      <c r="K64" s="11"/>
      <c r="L64" s="4"/>
      <c r="M64" s="12"/>
      <c r="N64" s="10"/>
      <c r="O64" s="17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5.75" customHeight="1">
      <c r="A65" s="14"/>
      <c r="B65" s="14"/>
      <c r="C65" s="14"/>
      <c r="D65" s="14"/>
      <c r="E65" s="15"/>
      <c r="F65" s="14"/>
      <c r="G65" s="14"/>
      <c r="H65" s="10"/>
      <c r="I65" s="10"/>
      <c r="J65" s="11"/>
      <c r="K65" s="11"/>
      <c r="L65" s="4"/>
      <c r="M65" s="12"/>
      <c r="N65" s="10"/>
      <c r="O65" s="17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5.75" customHeight="1">
      <c r="A66" s="14"/>
      <c r="B66" s="14"/>
      <c r="C66" s="14"/>
      <c r="D66" s="14"/>
      <c r="E66" s="15"/>
      <c r="F66" s="14"/>
      <c r="G66" s="14"/>
      <c r="H66" s="10"/>
      <c r="I66" s="10"/>
      <c r="J66" s="11"/>
      <c r="K66" s="11"/>
      <c r="L66" s="4"/>
      <c r="M66" s="12"/>
      <c r="N66" s="10"/>
      <c r="O66" s="17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5.75" customHeight="1">
      <c r="A67" s="14"/>
      <c r="B67" s="14"/>
      <c r="C67" s="14"/>
      <c r="D67" s="14"/>
      <c r="E67" s="15"/>
      <c r="F67" s="14"/>
      <c r="G67" s="14"/>
      <c r="H67" s="10"/>
      <c r="I67" s="10"/>
      <c r="J67" s="11"/>
      <c r="K67" s="11"/>
      <c r="L67" s="4"/>
      <c r="M67" s="12"/>
      <c r="N67" s="10"/>
      <c r="O67" s="17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5.75" customHeight="1">
      <c r="A68" s="14"/>
      <c r="B68" s="14"/>
      <c r="C68" s="14"/>
      <c r="D68" s="14"/>
      <c r="E68" s="15"/>
      <c r="F68" s="14"/>
      <c r="G68" s="14"/>
      <c r="H68" s="10"/>
      <c r="I68" s="10"/>
      <c r="J68" s="11"/>
      <c r="K68" s="11"/>
      <c r="L68" s="4"/>
      <c r="M68" s="12"/>
      <c r="N68" s="10"/>
      <c r="O68" s="17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5.75" customHeight="1">
      <c r="A69" s="14"/>
      <c r="B69" s="14"/>
      <c r="C69" s="14"/>
      <c r="D69" s="14"/>
      <c r="E69" s="15"/>
      <c r="F69" s="14"/>
      <c r="G69" s="14"/>
      <c r="H69" s="10"/>
      <c r="I69" s="10"/>
      <c r="J69" s="11"/>
      <c r="K69" s="11"/>
      <c r="L69" s="4"/>
      <c r="M69" s="12"/>
      <c r="N69" s="10"/>
      <c r="O69" s="17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5.75" customHeight="1">
      <c r="A70" s="14"/>
      <c r="B70" s="14"/>
      <c r="C70" s="14"/>
      <c r="D70" s="14"/>
      <c r="E70" s="15"/>
      <c r="F70" s="14"/>
      <c r="G70" s="14"/>
      <c r="H70" s="10"/>
      <c r="I70" s="10"/>
      <c r="J70" s="11"/>
      <c r="K70" s="11"/>
      <c r="L70" s="4"/>
      <c r="M70" s="12"/>
      <c r="N70" s="10"/>
      <c r="O70" s="17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5.75" customHeight="1">
      <c r="A71" s="14"/>
      <c r="B71" s="14"/>
      <c r="C71" s="14"/>
      <c r="D71" s="14"/>
      <c r="E71" s="15"/>
      <c r="F71" s="14"/>
      <c r="G71" s="14"/>
      <c r="H71" s="10"/>
      <c r="I71" s="10"/>
      <c r="J71" s="14"/>
      <c r="L71" s="4"/>
      <c r="M71" s="10"/>
      <c r="N71" s="10"/>
      <c r="O71" s="17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5.75" customHeight="1">
      <c r="H72" s="10"/>
      <c r="I72" s="10"/>
      <c r="J72" s="14"/>
      <c r="L72" s="4"/>
      <c r="M72" s="10"/>
      <c r="N72" s="19"/>
      <c r="O72" s="17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5.75" customHeight="1"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75" customHeight="1">
      <c r="A74" s="14" t="s">
        <v>45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5.75" customHeight="1">
      <c r="A75" s="14" t="s">
        <v>46</v>
      </c>
    </row>
    <row r="76" ht="15.75" customHeight="1">
      <c r="A76" s="14" t="s">
        <v>47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>
      <c r="F84" s="15"/>
      <c r="G84" s="15"/>
      <c r="H84" s="15"/>
      <c r="K84" s="20"/>
      <c r="L84" s="21"/>
      <c r="M84" s="21"/>
      <c r="N84" s="20"/>
      <c r="O84" s="20"/>
      <c r="P84" s="21"/>
      <c r="Q84" s="21"/>
      <c r="S84" s="15"/>
      <c r="T84" s="15"/>
      <c r="U84" s="15"/>
      <c r="V84" s="15"/>
      <c r="W84" s="15"/>
      <c r="X84" s="15"/>
      <c r="Y84" s="15"/>
      <c r="Z84" s="15"/>
      <c r="AA84" s="15"/>
    </row>
    <row r="85" ht="15.75" customHeight="1">
      <c r="F85" s="15"/>
      <c r="G85" s="15"/>
      <c r="H85" s="15"/>
      <c r="K85" s="20"/>
      <c r="L85" s="21"/>
      <c r="M85" s="21"/>
      <c r="N85" s="20"/>
      <c r="O85" s="20"/>
      <c r="P85" s="21"/>
      <c r="Q85" s="21"/>
      <c r="S85" s="15"/>
      <c r="T85" s="15"/>
      <c r="U85" s="15"/>
      <c r="V85" s="15"/>
      <c r="W85" s="15"/>
      <c r="X85" s="15"/>
      <c r="Y85" s="15"/>
      <c r="Z85" s="15"/>
      <c r="AA85" s="15"/>
    </row>
    <row r="86" ht="15.75" customHeight="1">
      <c r="F86" s="15"/>
      <c r="G86" s="15"/>
      <c r="H86" s="15"/>
      <c r="K86" s="20"/>
      <c r="L86" s="21"/>
      <c r="M86" s="21"/>
      <c r="N86" s="20"/>
      <c r="O86" s="20"/>
      <c r="P86" s="21"/>
      <c r="Q86" s="21"/>
      <c r="S86" s="15"/>
      <c r="T86" s="15"/>
      <c r="U86" s="15"/>
      <c r="V86" s="15"/>
      <c r="W86" s="15"/>
      <c r="X86" s="15"/>
      <c r="Y86" s="15"/>
      <c r="Z86" s="15"/>
      <c r="AA86" s="15"/>
    </row>
    <row r="87" ht="15.75" customHeight="1">
      <c r="F87" s="15"/>
      <c r="G87" s="15"/>
      <c r="H87" s="15"/>
      <c r="K87" s="20"/>
      <c r="L87" s="21"/>
      <c r="M87" s="21"/>
      <c r="N87" s="20"/>
      <c r="O87" s="20"/>
      <c r="P87" s="21"/>
      <c r="Q87" s="21"/>
      <c r="S87" s="15"/>
      <c r="T87" s="15"/>
      <c r="U87" s="15"/>
      <c r="V87" s="15"/>
      <c r="W87" s="15"/>
      <c r="X87" s="15"/>
      <c r="Y87" s="15"/>
      <c r="Z87" s="15"/>
      <c r="AA87" s="15"/>
    </row>
    <row r="88" ht="15.75" customHeight="1">
      <c r="F88" s="15"/>
      <c r="G88" s="15"/>
      <c r="H88" s="15"/>
      <c r="K88" s="20"/>
      <c r="L88" s="21"/>
      <c r="M88" s="21"/>
      <c r="N88" s="20"/>
      <c r="O88" s="20"/>
      <c r="P88" s="21"/>
      <c r="Q88" s="21"/>
      <c r="S88" s="15"/>
      <c r="T88" s="15"/>
      <c r="U88" s="15"/>
      <c r="V88" s="15"/>
      <c r="W88" s="15"/>
      <c r="X88" s="15"/>
      <c r="Y88" s="15"/>
      <c r="Z88" s="15"/>
      <c r="AA88" s="15"/>
    </row>
    <row r="89" ht="15.75" customHeight="1">
      <c r="F89" s="15"/>
      <c r="G89" s="15"/>
      <c r="H89" s="15"/>
      <c r="K89" s="20"/>
      <c r="L89" s="21"/>
      <c r="M89" s="21"/>
      <c r="N89" s="20"/>
      <c r="O89" s="20"/>
      <c r="P89" s="21"/>
      <c r="Q89" s="21"/>
      <c r="S89" s="15"/>
      <c r="T89" s="15"/>
      <c r="U89" s="15"/>
      <c r="V89" s="15"/>
      <c r="W89" s="15"/>
      <c r="X89" s="15"/>
      <c r="Y89" s="15"/>
      <c r="Z89" s="15"/>
      <c r="AA89" s="15"/>
    </row>
    <row r="90" ht="15.75" customHeight="1">
      <c r="K90" s="20"/>
      <c r="L90" s="21"/>
      <c r="M90" s="21"/>
      <c r="N90" s="20"/>
      <c r="O90" s="20"/>
      <c r="P90" s="21"/>
      <c r="Q90" s="21"/>
    </row>
    <row r="91" ht="15.75" customHeight="1">
      <c r="K91" s="20"/>
      <c r="L91" s="21"/>
      <c r="M91" s="21"/>
      <c r="N91" s="20"/>
      <c r="O91" s="20"/>
      <c r="P91" s="21"/>
      <c r="Q91" s="21"/>
    </row>
    <row r="92" ht="15.75" customHeight="1">
      <c r="K92" s="20"/>
      <c r="L92" s="21"/>
      <c r="M92" s="21"/>
      <c r="N92" s="20"/>
      <c r="O92" s="20"/>
      <c r="P92" s="21"/>
      <c r="Q92" s="2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5"/>
    <col customWidth="1" min="3" max="3" width="67.38"/>
    <col customWidth="1" min="4" max="6" width="12.63"/>
    <col customWidth="1" min="7" max="7" width="33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22" t="s">
        <v>48</v>
      </c>
      <c r="I1" s="2"/>
      <c r="J1" s="3"/>
    </row>
    <row r="2" ht="15.75" customHeight="1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4" t="s">
        <v>7</v>
      </c>
      <c r="H2" s="25" t="s">
        <v>49</v>
      </c>
      <c r="I2" s="25" t="s">
        <v>50</v>
      </c>
      <c r="J2" s="25" t="s">
        <v>51</v>
      </c>
    </row>
    <row r="3" ht="15.75" customHeight="1">
      <c r="A3" s="14">
        <v>2.0</v>
      </c>
      <c r="B3" s="8" t="s">
        <v>8</v>
      </c>
      <c r="C3" s="9" t="s">
        <v>9</v>
      </c>
      <c r="D3" s="7" t="s">
        <v>10</v>
      </c>
      <c r="E3" s="8">
        <v>4.0</v>
      </c>
      <c r="F3" s="8" t="s">
        <v>11</v>
      </c>
      <c r="G3" s="8" t="s">
        <v>12</v>
      </c>
      <c r="H3" s="26">
        <v>45795.0</v>
      </c>
      <c r="I3" s="26">
        <v>45797.0</v>
      </c>
      <c r="J3" s="27">
        <v>6.0</v>
      </c>
      <c r="K3" s="11"/>
      <c r="L3" s="4"/>
      <c r="M3" s="12"/>
      <c r="N3" s="10"/>
    </row>
    <row r="4" ht="15.75" customHeight="1">
      <c r="A4" s="14">
        <v>2.0</v>
      </c>
      <c r="B4" s="8" t="s">
        <v>8</v>
      </c>
      <c r="C4" s="7" t="s">
        <v>13</v>
      </c>
      <c r="D4" s="7" t="s">
        <v>10</v>
      </c>
      <c r="E4" s="8">
        <v>9.0</v>
      </c>
      <c r="F4" s="8" t="s">
        <v>11</v>
      </c>
      <c r="G4" s="8" t="s">
        <v>14</v>
      </c>
      <c r="H4" s="26">
        <v>45792.0</v>
      </c>
      <c r="I4" s="26">
        <v>45805.0</v>
      </c>
      <c r="J4" s="27">
        <v>10.0</v>
      </c>
      <c r="K4" s="11"/>
      <c r="L4" s="4"/>
      <c r="M4" s="12"/>
      <c r="N4" s="10"/>
    </row>
    <row r="5" ht="15.75" customHeight="1">
      <c r="A5" s="14">
        <v>2.0</v>
      </c>
      <c r="B5" s="8" t="s">
        <v>8</v>
      </c>
      <c r="C5" s="9" t="s">
        <v>15</v>
      </c>
      <c r="D5" s="7" t="s">
        <v>10</v>
      </c>
      <c r="E5" s="8">
        <v>7.0</v>
      </c>
      <c r="F5" s="8" t="s">
        <v>11</v>
      </c>
      <c r="G5" s="8" t="s">
        <v>12</v>
      </c>
      <c r="H5" s="26">
        <v>45793.0</v>
      </c>
      <c r="I5" s="26">
        <v>45806.0</v>
      </c>
      <c r="J5" s="27">
        <v>12.04</v>
      </c>
      <c r="K5" s="11"/>
      <c r="L5" s="4"/>
      <c r="M5" s="12"/>
      <c r="N5" s="10"/>
    </row>
    <row r="6" ht="15.75" customHeight="1">
      <c r="A6" s="14">
        <v>3.0</v>
      </c>
      <c r="B6" s="8" t="s">
        <v>8</v>
      </c>
      <c r="C6" s="9" t="s">
        <v>16</v>
      </c>
      <c r="D6" s="7" t="s">
        <v>10</v>
      </c>
      <c r="E6" s="8">
        <v>8.0</v>
      </c>
      <c r="F6" s="8" t="s">
        <v>11</v>
      </c>
      <c r="G6" s="8" t="s">
        <v>12</v>
      </c>
      <c r="H6" s="26">
        <v>45795.0</v>
      </c>
      <c r="I6" s="26">
        <v>45803.0</v>
      </c>
      <c r="J6" s="27">
        <v>6.03</v>
      </c>
      <c r="K6" s="11"/>
      <c r="L6" s="4"/>
      <c r="M6" s="12"/>
      <c r="N6" s="10"/>
    </row>
    <row r="7" ht="15.75" customHeight="1">
      <c r="A7" s="14">
        <v>2.0</v>
      </c>
      <c r="B7" s="8" t="s">
        <v>8</v>
      </c>
      <c r="C7" s="9" t="s">
        <v>17</v>
      </c>
      <c r="D7" s="7" t="s">
        <v>10</v>
      </c>
      <c r="E7" s="8">
        <v>10.0</v>
      </c>
      <c r="F7" s="8" t="s">
        <v>11</v>
      </c>
      <c r="G7" s="8" t="s">
        <v>18</v>
      </c>
      <c r="H7" s="26">
        <v>45792.0</v>
      </c>
      <c r="I7" s="26">
        <v>45436.0</v>
      </c>
      <c r="J7" s="27">
        <v>6.7</v>
      </c>
      <c r="K7" s="11"/>
      <c r="L7" s="4"/>
      <c r="M7" s="12"/>
      <c r="N7" s="10"/>
    </row>
    <row r="8" ht="15.75" customHeight="1">
      <c r="A8" s="14">
        <v>2.0</v>
      </c>
      <c r="B8" s="8" t="s">
        <v>19</v>
      </c>
      <c r="C8" s="8" t="s">
        <v>20</v>
      </c>
      <c r="D8" s="7" t="s">
        <v>21</v>
      </c>
      <c r="E8" s="8">
        <v>3.0</v>
      </c>
      <c r="F8" s="8" t="s">
        <v>11</v>
      </c>
      <c r="G8" s="8" t="s">
        <v>12</v>
      </c>
      <c r="H8" s="26">
        <v>45790.0</v>
      </c>
      <c r="I8" s="26">
        <v>45802.0</v>
      </c>
      <c r="J8" s="27">
        <v>5.98</v>
      </c>
      <c r="K8" s="11"/>
      <c r="L8" s="4"/>
      <c r="M8" s="12"/>
      <c r="N8" s="10"/>
    </row>
    <row r="9" ht="15.75" customHeight="1">
      <c r="A9" s="14">
        <v>3.0</v>
      </c>
      <c r="B9" s="8" t="s">
        <v>22</v>
      </c>
      <c r="C9" s="8" t="s">
        <v>23</v>
      </c>
      <c r="D9" s="7" t="s">
        <v>24</v>
      </c>
      <c r="E9" s="8">
        <v>6.0</v>
      </c>
      <c r="F9" s="8" t="s">
        <v>11</v>
      </c>
      <c r="G9" s="8" t="s">
        <v>12</v>
      </c>
      <c r="H9" s="26">
        <v>45795.0</v>
      </c>
      <c r="I9" s="26">
        <v>45798.0</v>
      </c>
      <c r="J9" s="27">
        <v>12.0</v>
      </c>
      <c r="K9" s="11"/>
      <c r="L9" s="4"/>
      <c r="M9" s="12"/>
      <c r="N9" s="10"/>
    </row>
    <row r="10" ht="15.75" customHeight="1">
      <c r="A10" s="14">
        <v>3.0</v>
      </c>
      <c r="B10" s="8" t="s">
        <v>22</v>
      </c>
      <c r="C10" s="8" t="s">
        <v>25</v>
      </c>
      <c r="D10" s="7" t="s">
        <v>24</v>
      </c>
      <c r="E10" s="8">
        <v>4.0</v>
      </c>
      <c r="F10" s="8" t="s">
        <v>11</v>
      </c>
      <c r="G10" s="8" t="s">
        <v>12</v>
      </c>
      <c r="H10" s="26">
        <v>45800.0</v>
      </c>
      <c r="I10" s="26">
        <v>45801.0</v>
      </c>
      <c r="J10" s="27">
        <v>0.5</v>
      </c>
      <c r="K10" s="11"/>
      <c r="L10" s="4"/>
      <c r="M10" s="12"/>
      <c r="N10" s="10"/>
    </row>
    <row r="11" ht="15.75" customHeight="1">
      <c r="A11" s="14">
        <v>3.0</v>
      </c>
      <c r="B11" s="8" t="s">
        <v>22</v>
      </c>
      <c r="C11" s="8" t="s">
        <v>26</v>
      </c>
      <c r="D11" s="7" t="s">
        <v>24</v>
      </c>
      <c r="E11" s="8">
        <v>1.0</v>
      </c>
      <c r="F11" s="8" t="s">
        <v>11</v>
      </c>
      <c r="G11" s="8" t="s">
        <v>12</v>
      </c>
      <c r="H11" s="26">
        <v>45802.0</v>
      </c>
      <c r="I11" s="26">
        <v>45802.0</v>
      </c>
      <c r="J11" s="27">
        <v>0.4</v>
      </c>
      <c r="K11" s="11"/>
      <c r="L11" s="4"/>
      <c r="M11" s="12"/>
      <c r="N11" s="10"/>
    </row>
    <row r="12" ht="15.75" customHeight="1">
      <c r="A12" s="14">
        <v>2.0</v>
      </c>
      <c r="B12" s="8" t="s">
        <v>22</v>
      </c>
      <c r="C12" s="8" t="s">
        <v>27</v>
      </c>
      <c r="D12" s="7" t="s">
        <v>24</v>
      </c>
      <c r="E12" s="8">
        <v>1.0</v>
      </c>
      <c r="F12" s="8" t="s">
        <v>11</v>
      </c>
      <c r="G12" s="8" t="s">
        <v>12</v>
      </c>
      <c r="H12" s="26">
        <v>45802.0</v>
      </c>
      <c r="I12" s="26">
        <v>45802.0</v>
      </c>
      <c r="J12" s="27">
        <v>0.4</v>
      </c>
      <c r="K12" s="11"/>
      <c r="L12" s="4"/>
      <c r="M12" s="12"/>
      <c r="N12" s="10"/>
    </row>
    <row r="13" ht="15.75" customHeight="1">
      <c r="A13" s="14">
        <v>2.0</v>
      </c>
      <c r="B13" s="8" t="s">
        <v>28</v>
      </c>
      <c r="C13" s="13" t="s">
        <v>52</v>
      </c>
      <c r="D13" s="7" t="s">
        <v>24</v>
      </c>
      <c r="E13" s="8">
        <v>3.0</v>
      </c>
      <c r="F13" s="8" t="s">
        <v>53</v>
      </c>
      <c r="G13" s="7" t="s">
        <v>12</v>
      </c>
      <c r="H13" s="26">
        <v>45822.0</v>
      </c>
      <c r="I13" s="26"/>
      <c r="J13" s="27"/>
      <c r="K13" s="11"/>
      <c r="L13" s="4"/>
      <c r="M13" s="12"/>
      <c r="N13" s="10"/>
    </row>
    <row r="14" ht="15.75" customHeight="1">
      <c r="A14" s="14">
        <v>2.0</v>
      </c>
      <c r="B14" s="7" t="s">
        <v>30</v>
      </c>
      <c r="C14" s="7" t="s">
        <v>31</v>
      </c>
      <c r="D14" s="13" t="s">
        <v>21</v>
      </c>
      <c r="E14" s="8">
        <v>3.0</v>
      </c>
      <c r="F14" s="8" t="s">
        <v>11</v>
      </c>
      <c r="G14" s="7" t="s">
        <v>12</v>
      </c>
      <c r="H14" s="26">
        <v>45801.0</v>
      </c>
      <c r="I14" s="26">
        <v>45805.0</v>
      </c>
      <c r="J14" s="27">
        <v>1.0</v>
      </c>
      <c r="K14" s="11"/>
      <c r="L14" s="4"/>
      <c r="M14" s="12"/>
      <c r="N14" s="10"/>
    </row>
    <row r="15" ht="15.75" customHeight="1">
      <c r="A15" s="14">
        <v>3.0</v>
      </c>
      <c r="B15" s="7" t="s">
        <v>30</v>
      </c>
      <c r="C15" s="7" t="s">
        <v>32</v>
      </c>
      <c r="D15" s="7" t="s">
        <v>24</v>
      </c>
      <c r="E15" s="8">
        <v>3.0</v>
      </c>
      <c r="F15" s="8" t="s">
        <v>11</v>
      </c>
      <c r="G15" s="7" t="s">
        <v>33</v>
      </c>
      <c r="H15" s="26">
        <v>45792.0</v>
      </c>
      <c r="I15" s="26">
        <v>45795.0</v>
      </c>
      <c r="J15" s="27">
        <v>3.0</v>
      </c>
      <c r="K15" s="11"/>
      <c r="L15" s="4"/>
      <c r="M15" s="12"/>
      <c r="N15" s="10"/>
    </row>
    <row r="16" ht="15.75" customHeight="1">
      <c r="A16" s="14">
        <v>3.0</v>
      </c>
      <c r="B16" s="7" t="s">
        <v>30</v>
      </c>
      <c r="C16" s="7" t="s">
        <v>34</v>
      </c>
      <c r="D16" s="7" t="s">
        <v>24</v>
      </c>
      <c r="E16" s="8">
        <v>2.0</v>
      </c>
      <c r="F16" s="8" t="s">
        <v>11</v>
      </c>
      <c r="G16" s="7" t="s">
        <v>33</v>
      </c>
      <c r="H16" s="26">
        <v>45801.0</v>
      </c>
      <c r="I16" s="26">
        <v>45801.0</v>
      </c>
      <c r="J16" s="27">
        <v>0.35</v>
      </c>
      <c r="K16" s="11"/>
      <c r="L16" s="4"/>
      <c r="M16" s="12"/>
      <c r="N16" s="10"/>
    </row>
    <row r="17" ht="15.75" customHeight="1">
      <c r="A17" s="14">
        <v>3.0</v>
      </c>
      <c r="B17" s="7" t="s">
        <v>30</v>
      </c>
      <c r="C17" s="7" t="s">
        <v>35</v>
      </c>
      <c r="D17" s="13" t="s">
        <v>21</v>
      </c>
      <c r="E17" s="8">
        <v>2.0</v>
      </c>
      <c r="F17" s="8" t="s">
        <v>11</v>
      </c>
      <c r="G17" s="7" t="s">
        <v>33</v>
      </c>
      <c r="H17" s="26">
        <v>45801.0</v>
      </c>
      <c r="I17" s="26">
        <v>45823.0</v>
      </c>
      <c r="J17" s="27">
        <v>11.96</v>
      </c>
      <c r="K17" s="11"/>
      <c r="L17" s="4"/>
      <c r="M17" s="12"/>
      <c r="N17" s="10"/>
    </row>
    <row r="18" ht="15.75" customHeight="1">
      <c r="A18" s="14">
        <v>2.0</v>
      </c>
      <c r="B18" s="7" t="s">
        <v>30</v>
      </c>
      <c r="C18" s="7" t="s">
        <v>36</v>
      </c>
      <c r="D18" s="13" t="s">
        <v>21</v>
      </c>
      <c r="E18" s="8">
        <v>2.0</v>
      </c>
      <c r="F18" s="8" t="s">
        <v>11</v>
      </c>
      <c r="G18" s="7" t="s">
        <v>33</v>
      </c>
      <c r="H18" s="26">
        <v>45803.0</v>
      </c>
      <c r="I18" s="26">
        <v>45823.0</v>
      </c>
      <c r="J18" s="27">
        <v>31.71</v>
      </c>
      <c r="K18" s="11"/>
      <c r="L18" s="4"/>
      <c r="M18" s="12"/>
      <c r="N18" s="10"/>
    </row>
    <row r="19" ht="15.75" customHeight="1">
      <c r="A19" s="14">
        <v>3.0</v>
      </c>
      <c r="B19" s="7" t="s">
        <v>30</v>
      </c>
      <c r="C19" s="7" t="s">
        <v>37</v>
      </c>
      <c r="D19" s="13" t="s">
        <v>21</v>
      </c>
      <c r="E19" s="8">
        <v>1.0</v>
      </c>
      <c r="F19" s="8" t="s">
        <v>11</v>
      </c>
      <c r="G19" s="7" t="s">
        <v>33</v>
      </c>
      <c r="H19" s="26">
        <v>45801.0</v>
      </c>
      <c r="I19" s="26">
        <v>45809.0</v>
      </c>
      <c r="J19" s="27">
        <v>2.97</v>
      </c>
      <c r="K19" s="11"/>
      <c r="L19" s="4"/>
      <c r="M19" s="12"/>
      <c r="N19" s="10"/>
    </row>
    <row r="20" ht="15.75" customHeight="1">
      <c r="A20" s="14">
        <v>3.0</v>
      </c>
      <c r="B20" s="7" t="s">
        <v>30</v>
      </c>
      <c r="C20" s="7" t="s">
        <v>38</v>
      </c>
      <c r="D20" s="7" t="s">
        <v>10</v>
      </c>
      <c r="E20" s="8">
        <v>1.0</v>
      </c>
      <c r="F20" s="8" t="s">
        <v>11</v>
      </c>
      <c r="G20" s="7" t="s">
        <v>33</v>
      </c>
      <c r="H20" s="26">
        <v>45823.0</v>
      </c>
      <c r="I20" s="26">
        <v>45823.0</v>
      </c>
      <c r="J20" s="27">
        <v>4.0</v>
      </c>
      <c r="K20" s="11"/>
      <c r="L20" s="4"/>
      <c r="M20" s="12"/>
      <c r="N20" s="10"/>
    </row>
    <row r="21" ht="15.75" customHeight="1">
      <c r="A21" s="14">
        <v>3.0</v>
      </c>
      <c r="B21" s="7" t="s">
        <v>30</v>
      </c>
      <c r="C21" s="7" t="s">
        <v>39</v>
      </c>
      <c r="D21" s="7" t="s">
        <v>10</v>
      </c>
      <c r="E21" s="8">
        <v>2.0</v>
      </c>
      <c r="F21" s="8" t="s">
        <v>11</v>
      </c>
      <c r="G21" s="7" t="s">
        <v>33</v>
      </c>
      <c r="H21" s="26">
        <v>45801.0</v>
      </c>
      <c r="I21" s="26">
        <v>45823.0</v>
      </c>
      <c r="J21" s="27">
        <v>10.0</v>
      </c>
      <c r="K21" s="11"/>
      <c r="L21" s="4"/>
      <c r="M21" s="12"/>
      <c r="N21" s="10"/>
    </row>
    <row r="22" ht="15.75" customHeight="1">
      <c r="A22" s="14">
        <v>2.0</v>
      </c>
      <c r="B22" s="7" t="s">
        <v>30</v>
      </c>
      <c r="C22" s="7" t="s">
        <v>40</v>
      </c>
      <c r="D22" s="7" t="s">
        <v>10</v>
      </c>
      <c r="E22" s="8">
        <v>2.0</v>
      </c>
      <c r="F22" s="8" t="s">
        <v>11</v>
      </c>
      <c r="G22" s="7" t="s">
        <v>33</v>
      </c>
      <c r="H22" s="26">
        <v>45822.0</v>
      </c>
      <c r="I22" s="26">
        <v>45823.0</v>
      </c>
      <c r="J22" s="27">
        <v>5.0</v>
      </c>
      <c r="K22" s="11"/>
      <c r="L22" s="4"/>
      <c r="M22" s="12"/>
      <c r="N22" s="10"/>
    </row>
    <row r="23" ht="15.75" customHeight="1">
      <c r="A23" s="14">
        <v>2.0</v>
      </c>
      <c r="B23" s="7" t="s">
        <v>30</v>
      </c>
      <c r="C23" s="7" t="s">
        <v>41</v>
      </c>
      <c r="D23" s="7" t="s">
        <v>10</v>
      </c>
      <c r="E23" s="8">
        <v>2.0</v>
      </c>
      <c r="F23" s="8" t="s">
        <v>11</v>
      </c>
      <c r="G23" s="7" t="s">
        <v>33</v>
      </c>
      <c r="H23" s="26">
        <v>45822.0</v>
      </c>
      <c r="I23" s="26">
        <v>45823.0</v>
      </c>
      <c r="J23" s="27">
        <v>2.0</v>
      </c>
      <c r="K23" s="11"/>
      <c r="L23" s="4"/>
      <c r="M23" s="12"/>
      <c r="N23" s="10"/>
    </row>
    <row r="24" ht="15.75" customHeight="1">
      <c r="A24" s="14">
        <v>3.0</v>
      </c>
      <c r="B24" s="7" t="s">
        <v>30</v>
      </c>
      <c r="C24" s="7" t="s">
        <v>42</v>
      </c>
      <c r="D24" s="7" t="s">
        <v>10</v>
      </c>
      <c r="E24" s="8">
        <v>1.5</v>
      </c>
      <c r="F24" s="8" t="s">
        <v>11</v>
      </c>
      <c r="G24" s="7" t="s">
        <v>33</v>
      </c>
      <c r="H24" s="26">
        <v>45822.0</v>
      </c>
      <c r="I24" s="26">
        <v>45823.0</v>
      </c>
      <c r="J24" s="27">
        <v>2.0</v>
      </c>
      <c r="K24" s="11"/>
      <c r="L24" s="4"/>
      <c r="M24" s="12"/>
      <c r="N24" s="10"/>
    </row>
    <row r="25" ht="15.75" customHeight="1">
      <c r="A25" s="14">
        <v>3.0</v>
      </c>
      <c r="B25" s="7" t="s">
        <v>30</v>
      </c>
      <c r="C25" s="7" t="s">
        <v>43</v>
      </c>
      <c r="D25" s="7" t="s">
        <v>24</v>
      </c>
      <c r="E25" s="8">
        <v>1.0</v>
      </c>
      <c r="F25" s="8" t="s">
        <v>11</v>
      </c>
      <c r="G25" s="7" t="s">
        <v>33</v>
      </c>
      <c r="H25" s="26">
        <v>45797.0</v>
      </c>
      <c r="I25" s="26">
        <v>45797.0</v>
      </c>
      <c r="J25" s="27">
        <v>0.2</v>
      </c>
      <c r="K25" s="11"/>
      <c r="L25" s="4"/>
      <c r="M25" s="12"/>
      <c r="N25" s="10"/>
    </row>
    <row r="26" ht="15.75" customHeight="1">
      <c r="A26" s="14">
        <v>3.0</v>
      </c>
      <c r="B26" s="7" t="s">
        <v>30</v>
      </c>
      <c r="C26" s="7" t="s">
        <v>44</v>
      </c>
      <c r="D26" s="7" t="s">
        <v>24</v>
      </c>
      <c r="E26" s="8">
        <v>4.0</v>
      </c>
      <c r="F26" s="8" t="s">
        <v>11</v>
      </c>
      <c r="G26" s="7" t="s">
        <v>33</v>
      </c>
      <c r="H26" s="26">
        <v>45822.0</v>
      </c>
      <c r="I26" s="26">
        <v>45822.0</v>
      </c>
      <c r="J26" s="7">
        <v>6.0</v>
      </c>
      <c r="K26" s="11"/>
      <c r="L26" s="4"/>
      <c r="M26" s="12"/>
      <c r="N26" s="10"/>
    </row>
    <row r="27" ht="15.75" customHeight="1">
      <c r="A27" s="14"/>
      <c r="B27" s="15"/>
      <c r="C27" s="15"/>
      <c r="D27" s="14"/>
      <c r="E27" s="15"/>
      <c r="F27" s="15"/>
      <c r="G27" s="15"/>
      <c r="H27" s="10"/>
      <c r="I27" s="10"/>
      <c r="J27" s="11"/>
      <c r="K27" s="11"/>
      <c r="L27" s="4"/>
      <c r="M27" s="12"/>
      <c r="N27" s="10"/>
    </row>
    <row r="28" ht="15.75" customHeight="1">
      <c r="A28" s="14"/>
      <c r="B28" s="15"/>
      <c r="C28" s="15"/>
      <c r="D28" s="14"/>
      <c r="E28" s="15"/>
      <c r="F28" s="15"/>
      <c r="G28" s="15"/>
      <c r="H28" s="10"/>
      <c r="I28" s="10"/>
      <c r="J28" s="11"/>
      <c r="K28" s="11"/>
      <c r="L28" s="4"/>
      <c r="M28" s="12"/>
      <c r="N28" s="10"/>
    </row>
    <row r="29" ht="15.75" customHeight="1">
      <c r="A29" s="14"/>
      <c r="B29" s="15"/>
      <c r="C29" s="15"/>
      <c r="D29" s="14"/>
      <c r="E29" s="15"/>
      <c r="F29" s="15"/>
      <c r="G29" s="15"/>
      <c r="H29" s="10"/>
      <c r="I29" s="10"/>
      <c r="J29" s="11"/>
      <c r="K29" s="11"/>
      <c r="L29" s="4"/>
      <c r="M29" s="12"/>
      <c r="N29" s="10"/>
    </row>
    <row r="30" ht="15.75" customHeight="1">
      <c r="A30" s="14"/>
      <c r="B30" s="15"/>
      <c r="C30" s="15"/>
      <c r="D30" s="14"/>
      <c r="E30" s="15"/>
      <c r="F30" s="15"/>
      <c r="G30" s="15"/>
      <c r="H30" s="10"/>
      <c r="I30" s="10"/>
      <c r="J30" s="11"/>
      <c r="K30" s="11"/>
      <c r="L30" s="4"/>
      <c r="M30" s="12"/>
      <c r="N30" s="10"/>
    </row>
    <row r="31" ht="15.75" customHeight="1">
      <c r="A31" s="14"/>
      <c r="B31" s="15"/>
      <c r="C31" s="15"/>
      <c r="D31" s="14"/>
      <c r="E31" s="15"/>
      <c r="F31" s="15"/>
      <c r="G31" s="15"/>
      <c r="H31" s="10"/>
      <c r="I31" s="10"/>
      <c r="J31" s="11"/>
      <c r="K31" s="11"/>
      <c r="L31" s="4"/>
      <c r="M31" s="12"/>
      <c r="N31" s="10"/>
    </row>
    <row r="32" ht="15.75" customHeight="1">
      <c r="A32" s="14"/>
      <c r="B32" s="15"/>
      <c r="C32" s="15"/>
      <c r="D32" s="14"/>
      <c r="E32" s="15"/>
      <c r="F32" s="15"/>
      <c r="G32" s="15"/>
      <c r="H32" s="10"/>
      <c r="I32" s="10"/>
      <c r="J32" s="11"/>
      <c r="K32" s="11"/>
      <c r="L32" s="4"/>
      <c r="M32" s="12"/>
      <c r="N32" s="10"/>
    </row>
    <row r="33" ht="15.75" customHeight="1">
      <c r="A33" s="14"/>
      <c r="B33" s="15"/>
      <c r="C33" s="15"/>
      <c r="D33" s="14"/>
      <c r="E33" s="15"/>
      <c r="F33" s="15"/>
      <c r="G33" s="15"/>
      <c r="H33" s="10"/>
      <c r="I33" s="10"/>
      <c r="J33" s="11"/>
      <c r="K33" s="11"/>
      <c r="L33" s="4"/>
      <c r="M33" s="12"/>
      <c r="N33" s="10"/>
      <c r="O33" s="17"/>
      <c r="P33" s="15"/>
      <c r="Q33" s="15"/>
      <c r="R33" s="15"/>
    </row>
    <row r="34" ht="15.75" customHeight="1">
      <c r="A34" s="14"/>
      <c r="B34" s="15"/>
      <c r="C34" s="15"/>
      <c r="D34" s="18"/>
      <c r="E34" s="15"/>
      <c r="F34" s="15"/>
      <c r="G34" s="15"/>
      <c r="H34" s="10"/>
      <c r="I34" s="10"/>
      <c r="J34" s="11"/>
      <c r="K34" s="11"/>
      <c r="L34" s="4"/>
      <c r="M34" s="12"/>
      <c r="N34" s="10"/>
      <c r="O34" s="17"/>
      <c r="P34" s="15"/>
      <c r="Q34" s="15"/>
      <c r="R34" s="15"/>
    </row>
    <row r="35" ht="15.75" customHeight="1">
      <c r="A35" s="14"/>
      <c r="B35" s="15"/>
      <c r="C35" s="15"/>
      <c r="D35" s="18"/>
      <c r="E35" s="15"/>
      <c r="F35" s="15"/>
      <c r="G35" s="15"/>
      <c r="H35" s="10"/>
      <c r="I35" s="10"/>
      <c r="J35" s="11"/>
      <c r="K35" s="11"/>
      <c r="L35" s="4"/>
      <c r="M35" s="12"/>
      <c r="N35" s="10"/>
      <c r="O35" s="17"/>
      <c r="P35" s="15"/>
      <c r="Q35" s="15"/>
      <c r="R35" s="15"/>
    </row>
    <row r="36" ht="15.75" customHeight="1">
      <c r="A36" s="14"/>
      <c r="B36" s="15"/>
      <c r="C36" s="15"/>
      <c r="D36" s="18"/>
      <c r="E36" s="15"/>
      <c r="F36" s="15"/>
      <c r="G36" s="15"/>
      <c r="H36" s="10"/>
      <c r="I36" s="10"/>
      <c r="J36" s="11"/>
      <c r="K36" s="11"/>
      <c r="L36" s="4"/>
      <c r="M36" s="12"/>
      <c r="N36" s="10"/>
      <c r="O36" s="17"/>
      <c r="P36" s="15"/>
      <c r="Q36" s="15"/>
      <c r="R36" s="15"/>
      <c r="S36" s="15"/>
      <c r="T36" s="15"/>
      <c r="U36" s="15"/>
      <c r="V36" s="15"/>
      <c r="W36" s="15"/>
      <c r="X36" s="15"/>
    </row>
    <row r="37" ht="15.75" customHeight="1">
      <c r="A37" s="14"/>
      <c r="B37" s="15"/>
      <c r="C37" s="15"/>
      <c r="D37" s="14"/>
      <c r="E37" s="15"/>
      <c r="F37" s="15"/>
      <c r="G37" s="15"/>
      <c r="H37" s="10"/>
      <c r="I37" s="10"/>
      <c r="J37" s="11"/>
      <c r="K37" s="11"/>
      <c r="L37" s="4"/>
      <c r="M37" s="12"/>
      <c r="N37" s="10"/>
      <c r="O37" s="17"/>
      <c r="P37" s="15"/>
      <c r="Q37" s="15"/>
      <c r="R37" s="15"/>
      <c r="S37" s="15"/>
      <c r="T37" s="15"/>
      <c r="U37" s="15"/>
      <c r="V37" s="15"/>
      <c r="W37" s="15"/>
      <c r="X37" s="15"/>
    </row>
    <row r="38" ht="15.75" customHeight="1">
      <c r="A38" s="14"/>
      <c r="B38" s="15"/>
      <c r="C38" s="15"/>
      <c r="D38" s="14"/>
      <c r="E38" s="15"/>
      <c r="F38" s="15"/>
      <c r="G38" s="15"/>
      <c r="H38" s="10"/>
      <c r="I38" s="10"/>
      <c r="J38" s="11"/>
      <c r="K38" s="11"/>
      <c r="L38" s="4"/>
      <c r="M38" s="12"/>
      <c r="N38" s="10"/>
      <c r="O38" s="17"/>
      <c r="P38" s="15"/>
      <c r="Q38" s="15"/>
      <c r="R38" s="15"/>
      <c r="S38" s="15"/>
      <c r="T38" s="15"/>
      <c r="U38" s="15"/>
      <c r="V38" s="15"/>
      <c r="W38" s="15"/>
      <c r="X38" s="15"/>
    </row>
    <row r="39" ht="15.75" customHeight="1">
      <c r="A39" s="14"/>
      <c r="B39" s="15"/>
      <c r="C39" s="15"/>
      <c r="D39" s="14"/>
      <c r="E39" s="15"/>
      <c r="F39" s="15"/>
      <c r="G39" s="15"/>
      <c r="H39" s="10"/>
      <c r="I39" s="10"/>
      <c r="J39" s="11"/>
      <c r="K39" s="11"/>
      <c r="L39" s="4"/>
      <c r="M39" s="12"/>
      <c r="N39" s="10"/>
      <c r="O39" s="17"/>
      <c r="P39" s="15"/>
      <c r="Q39" s="15"/>
      <c r="R39" s="15"/>
      <c r="S39" s="15"/>
      <c r="T39" s="15"/>
      <c r="U39" s="15"/>
      <c r="V39" s="15"/>
      <c r="W39" s="15"/>
      <c r="X39" s="15"/>
    </row>
    <row r="40" ht="15.75" customHeight="1">
      <c r="A40" s="14"/>
      <c r="K40" s="11"/>
      <c r="L40" s="4"/>
      <c r="M40" s="12"/>
      <c r="N40" s="10"/>
      <c r="O40" s="17"/>
      <c r="P40" s="15"/>
      <c r="Q40" s="15"/>
      <c r="R40" s="15"/>
      <c r="S40" s="15"/>
      <c r="T40" s="15"/>
      <c r="U40" s="15"/>
      <c r="V40" s="15"/>
      <c r="W40" s="15"/>
      <c r="X40" s="15"/>
    </row>
    <row r="41" ht="15.75" customHeight="1">
      <c r="A41" s="14"/>
      <c r="K41" s="11"/>
      <c r="L41" s="4"/>
      <c r="M41" s="12"/>
      <c r="N41" s="10"/>
      <c r="O41" s="17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A42" s="14"/>
      <c r="K42" s="11"/>
      <c r="L42" s="4"/>
      <c r="M42" s="12"/>
      <c r="N42" s="10"/>
      <c r="O42" s="17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A43" s="14"/>
      <c r="B43" s="15"/>
      <c r="C43" s="15"/>
      <c r="D43" s="14"/>
      <c r="E43" s="15"/>
      <c r="F43" s="15"/>
      <c r="G43" s="15"/>
      <c r="H43" s="10"/>
      <c r="I43" s="10"/>
      <c r="J43" s="11"/>
      <c r="K43" s="11"/>
      <c r="L43" s="4"/>
      <c r="M43" s="12"/>
      <c r="N43" s="10"/>
      <c r="O43" s="17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75" customHeight="1">
      <c r="A44" s="14"/>
      <c r="B44" s="15"/>
      <c r="C44" s="15"/>
      <c r="D44" s="14"/>
      <c r="E44" s="15"/>
      <c r="F44" s="15"/>
      <c r="G44" s="15"/>
      <c r="H44" s="10"/>
      <c r="I44" s="10"/>
      <c r="J44" s="11"/>
      <c r="K44" s="11"/>
      <c r="L44" s="4"/>
      <c r="M44" s="12"/>
      <c r="N44" s="10"/>
      <c r="O44" s="17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75" customHeight="1">
      <c r="A45" s="14"/>
      <c r="B45" s="15"/>
      <c r="C45" s="15"/>
      <c r="D45" s="18"/>
      <c r="E45" s="15"/>
      <c r="F45" s="15"/>
      <c r="G45" s="15"/>
      <c r="H45" s="10"/>
      <c r="I45" s="10"/>
      <c r="J45" s="11"/>
      <c r="K45" s="11"/>
      <c r="L45" s="4"/>
      <c r="M45" s="12"/>
      <c r="N45" s="10"/>
      <c r="O45" s="17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75" customHeight="1">
      <c r="A46" s="14"/>
      <c r="B46" s="15"/>
      <c r="C46" s="15"/>
      <c r="D46" s="18"/>
      <c r="E46" s="15"/>
      <c r="F46" s="15"/>
      <c r="G46" s="15"/>
      <c r="H46" s="10"/>
      <c r="I46" s="10"/>
      <c r="J46" s="11"/>
      <c r="K46" s="11"/>
      <c r="L46" s="4"/>
      <c r="M46" s="12"/>
      <c r="N46" s="10"/>
      <c r="O46" s="17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75" customHeight="1">
      <c r="A47" s="14"/>
      <c r="B47" s="15"/>
      <c r="C47" s="14"/>
      <c r="D47" s="18"/>
      <c r="E47" s="15"/>
      <c r="F47" s="15"/>
      <c r="G47" s="14"/>
      <c r="H47" s="10"/>
      <c r="I47" s="10"/>
      <c r="J47" s="11"/>
      <c r="K47" s="11"/>
      <c r="L47" s="4"/>
      <c r="M47" s="12"/>
      <c r="N47" s="10"/>
      <c r="O47" s="17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75" customHeight="1">
      <c r="A48" s="14"/>
      <c r="B48" s="15"/>
      <c r="C48" s="14"/>
      <c r="D48" s="18"/>
      <c r="E48" s="15"/>
      <c r="F48" s="15"/>
      <c r="G48" s="14"/>
      <c r="H48" s="10"/>
      <c r="I48" s="10"/>
      <c r="J48" s="11"/>
      <c r="K48" s="11"/>
      <c r="L48" s="4"/>
      <c r="M48" s="12"/>
      <c r="N48" s="10"/>
      <c r="O48" s="17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A49" s="14"/>
      <c r="B49" s="15"/>
      <c r="C49" s="14"/>
      <c r="D49" s="18"/>
      <c r="E49" s="15"/>
      <c r="F49" s="15"/>
      <c r="G49" s="15"/>
      <c r="H49" s="10"/>
      <c r="I49" s="10"/>
      <c r="J49" s="11"/>
      <c r="K49" s="11"/>
      <c r="L49" s="4"/>
      <c r="M49" s="12"/>
      <c r="N49" s="10"/>
      <c r="O49" s="17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A50" s="14"/>
      <c r="B50" s="15"/>
      <c r="C50" s="14"/>
      <c r="D50" s="18"/>
      <c r="E50" s="15"/>
      <c r="F50" s="15"/>
      <c r="G50" s="14"/>
      <c r="H50" s="10"/>
      <c r="I50" s="10"/>
      <c r="J50" s="11"/>
      <c r="K50" s="11"/>
      <c r="L50" s="4"/>
      <c r="M50" s="12"/>
      <c r="N50" s="10"/>
      <c r="O50" s="17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A51" s="14"/>
      <c r="K51" s="11"/>
      <c r="L51" s="4"/>
      <c r="M51" s="12"/>
      <c r="N51" s="10"/>
      <c r="O51" s="17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A52" s="14"/>
      <c r="B52" s="15"/>
      <c r="C52" s="14"/>
      <c r="D52" s="18"/>
      <c r="E52" s="15"/>
      <c r="F52" s="15"/>
      <c r="G52" s="14"/>
      <c r="H52" s="10"/>
      <c r="I52" s="10"/>
      <c r="J52" s="11"/>
      <c r="K52" s="11"/>
      <c r="L52" s="4"/>
      <c r="M52" s="12"/>
      <c r="N52" s="10"/>
      <c r="O52" s="17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A53" s="14"/>
      <c r="B53" s="15"/>
      <c r="C53" s="14"/>
      <c r="D53" s="14"/>
      <c r="E53" s="15"/>
      <c r="F53" s="15"/>
      <c r="G53" s="14"/>
      <c r="H53" s="10"/>
      <c r="I53" s="10"/>
      <c r="J53" s="11"/>
      <c r="K53" s="11"/>
      <c r="L53" s="4"/>
      <c r="M53" s="12"/>
      <c r="N53" s="10"/>
      <c r="O53" s="17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A54" s="14"/>
      <c r="I54" s="10"/>
      <c r="J54" s="11"/>
      <c r="K54" s="11"/>
      <c r="L54" s="4"/>
      <c r="M54" s="12"/>
      <c r="N54" s="10"/>
      <c r="O54" s="17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14"/>
      <c r="B55" s="15"/>
      <c r="C55" s="14"/>
      <c r="D55" s="14"/>
      <c r="E55" s="15"/>
      <c r="F55" s="15"/>
      <c r="G55" s="14"/>
      <c r="H55" s="10"/>
      <c r="I55" s="10"/>
      <c r="J55" s="11"/>
      <c r="K55" s="11"/>
      <c r="L55" s="4"/>
      <c r="M55" s="12"/>
      <c r="N55" s="10"/>
      <c r="O55" s="17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A56" s="14"/>
      <c r="B56" s="15"/>
      <c r="C56" s="14"/>
      <c r="D56" s="14"/>
      <c r="E56" s="15"/>
      <c r="F56" s="15"/>
      <c r="G56" s="14"/>
      <c r="H56" s="10"/>
      <c r="I56" s="10"/>
      <c r="J56" s="11"/>
      <c r="K56" s="11"/>
      <c r="L56" s="4"/>
      <c r="M56" s="12"/>
      <c r="N56" s="10"/>
      <c r="O56" s="17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A57" s="14"/>
      <c r="K57" s="11"/>
      <c r="L57" s="4"/>
      <c r="M57" s="12"/>
      <c r="N57" s="10"/>
      <c r="O57" s="17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A58" s="14"/>
      <c r="K58" s="11"/>
      <c r="L58" s="4"/>
      <c r="M58" s="12"/>
      <c r="N58" s="10"/>
      <c r="O58" s="17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A59" s="14"/>
      <c r="K59" s="11"/>
      <c r="L59" s="4"/>
      <c r="M59" s="12"/>
      <c r="N59" s="10"/>
      <c r="O59" s="17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A60" s="14"/>
      <c r="K60" s="11"/>
      <c r="L60" s="4"/>
      <c r="M60" s="12"/>
      <c r="N60" s="10"/>
      <c r="O60" s="17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A61" s="14"/>
      <c r="K61" s="11"/>
      <c r="L61" s="4"/>
      <c r="M61" s="12"/>
      <c r="N61" s="10"/>
      <c r="O61" s="17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A62" s="14"/>
      <c r="K62" s="11"/>
      <c r="L62" s="4"/>
      <c r="M62" s="12"/>
      <c r="N62" s="10"/>
      <c r="O62" s="17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A63" s="14"/>
      <c r="K63" s="11"/>
      <c r="L63" s="4"/>
      <c r="M63" s="12"/>
      <c r="N63" s="10"/>
      <c r="O63" s="17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A64" s="14"/>
      <c r="K64" s="11"/>
      <c r="L64" s="4"/>
      <c r="M64" s="12"/>
      <c r="N64" s="10"/>
      <c r="O64" s="17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14"/>
      <c r="K65" s="11"/>
      <c r="L65" s="4"/>
      <c r="M65" s="12"/>
      <c r="N65" s="10"/>
      <c r="O65" s="17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14"/>
      <c r="K66" s="11"/>
      <c r="L66" s="4"/>
      <c r="M66" s="12"/>
      <c r="N66" s="10"/>
      <c r="O66" s="17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A67" s="14"/>
      <c r="K67" s="11"/>
      <c r="L67" s="4"/>
      <c r="M67" s="12"/>
      <c r="N67" s="10"/>
      <c r="O67" s="17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A68" s="14"/>
      <c r="K68" s="11"/>
      <c r="L68" s="4"/>
      <c r="M68" s="12"/>
      <c r="N68" s="10"/>
      <c r="O68" s="17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A69" s="14"/>
      <c r="K69" s="11"/>
      <c r="L69" s="4"/>
      <c r="M69" s="12"/>
      <c r="N69" s="10"/>
      <c r="O69" s="17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A70" s="14"/>
      <c r="B70" s="7"/>
      <c r="C70" s="7"/>
      <c r="D70" s="7"/>
      <c r="E70" s="8"/>
      <c r="F70" s="8"/>
      <c r="G70" s="7"/>
      <c r="H70" s="26"/>
      <c r="I70" s="26"/>
      <c r="J70" s="7"/>
      <c r="K70" s="11"/>
      <c r="L70" s="4"/>
      <c r="M70" s="12"/>
      <c r="N70" s="10"/>
      <c r="O70" s="17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A71" s="14"/>
      <c r="L71" s="4"/>
      <c r="M71" s="10"/>
      <c r="N71" s="10"/>
      <c r="O71" s="17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L72" s="4"/>
      <c r="M72" s="10"/>
      <c r="N72" s="19"/>
      <c r="O72" s="17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A74" s="14" t="s">
        <v>45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A75" s="14" t="s">
        <v>46</v>
      </c>
    </row>
    <row r="76" ht="15.75" customHeight="1">
      <c r="A76" s="14" t="s">
        <v>47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>
      <c r="F84" s="15"/>
      <c r="G84" s="15"/>
      <c r="H84" s="15"/>
      <c r="K84" s="20"/>
      <c r="L84" s="21"/>
      <c r="M84" s="21"/>
      <c r="N84" s="20"/>
      <c r="O84" s="20"/>
      <c r="P84" s="21"/>
      <c r="Q84" s="21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F85" s="15"/>
      <c r="G85" s="15"/>
      <c r="H85" s="15"/>
      <c r="K85" s="20"/>
      <c r="L85" s="21"/>
      <c r="M85" s="21"/>
      <c r="N85" s="20"/>
      <c r="O85" s="20"/>
      <c r="P85" s="21"/>
      <c r="Q85" s="21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F86" s="15"/>
      <c r="G86" s="15"/>
      <c r="H86" s="15"/>
      <c r="K86" s="20"/>
      <c r="L86" s="21"/>
      <c r="M86" s="21"/>
      <c r="N86" s="20"/>
      <c r="O86" s="20"/>
      <c r="P86" s="21"/>
      <c r="Q86" s="21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F87" s="15"/>
      <c r="G87" s="15"/>
      <c r="H87" s="15"/>
      <c r="K87" s="20"/>
      <c r="L87" s="21"/>
      <c r="M87" s="21"/>
      <c r="N87" s="20"/>
      <c r="O87" s="20"/>
      <c r="P87" s="21"/>
      <c r="Q87" s="21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F88" s="15"/>
      <c r="G88" s="15"/>
      <c r="H88" s="15"/>
      <c r="K88" s="20"/>
      <c r="L88" s="21"/>
      <c r="M88" s="21"/>
      <c r="N88" s="20"/>
      <c r="O88" s="20"/>
      <c r="P88" s="21"/>
      <c r="Q88" s="21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F89" s="15"/>
      <c r="G89" s="15"/>
      <c r="H89" s="15"/>
      <c r="K89" s="20"/>
      <c r="L89" s="21"/>
      <c r="M89" s="21"/>
      <c r="N89" s="20"/>
      <c r="O89" s="20"/>
      <c r="P89" s="21"/>
      <c r="Q89" s="21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K90" s="20"/>
      <c r="L90" s="21"/>
      <c r="M90" s="21"/>
      <c r="N90" s="20"/>
      <c r="O90" s="20"/>
      <c r="P90" s="21"/>
      <c r="Q90" s="21"/>
    </row>
    <row r="91" ht="15.75" customHeight="1">
      <c r="K91" s="20"/>
      <c r="L91" s="21"/>
      <c r="M91" s="21"/>
      <c r="N91" s="20"/>
      <c r="O91" s="20"/>
      <c r="P91" s="21"/>
      <c r="Q91" s="21"/>
    </row>
    <row r="92" ht="15.75" customHeight="1">
      <c r="K92" s="20"/>
      <c r="L92" s="21"/>
      <c r="M92" s="21"/>
      <c r="N92" s="20"/>
      <c r="O92" s="20"/>
      <c r="P92" s="21"/>
      <c r="Q92" s="2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H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7.38"/>
    <col customWidth="1" min="2" max="38" width="14.38"/>
  </cols>
  <sheetData>
    <row r="1" ht="15.75" customHeight="1">
      <c r="A1" s="28" t="s">
        <v>54</v>
      </c>
      <c r="B1" s="29" t="s">
        <v>55</v>
      </c>
      <c r="C1" s="29" t="s">
        <v>56</v>
      </c>
      <c r="D1" s="29" t="s">
        <v>57</v>
      </c>
      <c r="E1" s="29" t="s">
        <v>58</v>
      </c>
      <c r="F1" s="29" t="s">
        <v>59</v>
      </c>
      <c r="G1" s="29" t="s">
        <v>60</v>
      </c>
      <c r="H1" s="29" t="s">
        <v>61</v>
      </c>
      <c r="I1" s="29" t="s">
        <v>62</v>
      </c>
      <c r="J1" s="29" t="s">
        <v>63</v>
      </c>
      <c r="K1" s="29" t="s">
        <v>64</v>
      </c>
      <c r="L1" s="29" t="s">
        <v>65</v>
      </c>
      <c r="M1" s="29" t="s">
        <v>66</v>
      </c>
      <c r="N1" s="29" t="s">
        <v>67</v>
      </c>
      <c r="O1" s="29" t="s">
        <v>68</v>
      </c>
      <c r="P1" s="29" t="s">
        <v>69</v>
      </c>
      <c r="Q1" s="29" t="s">
        <v>70</v>
      </c>
      <c r="R1" s="29" t="s">
        <v>71</v>
      </c>
      <c r="S1" s="29" t="s">
        <v>72</v>
      </c>
      <c r="T1" s="29" t="s">
        <v>73</v>
      </c>
      <c r="U1" s="29" t="s">
        <v>74</v>
      </c>
      <c r="V1" s="29" t="s">
        <v>75</v>
      </c>
      <c r="W1" s="29" t="s">
        <v>76</v>
      </c>
      <c r="X1" s="29" t="s">
        <v>77</v>
      </c>
      <c r="Y1" s="29" t="s">
        <v>78</v>
      </c>
      <c r="Z1" s="29" t="s">
        <v>79</v>
      </c>
      <c r="AA1" s="29" t="s">
        <v>80</v>
      </c>
      <c r="AB1" s="29" t="s">
        <v>81</v>
      </c>
      <c r="AC1" s="29" t="s">
        <v>82</v>
      </c>
      <c r="AD1" s="29" t="s">
        <v>83</v>
      </c>
      <c r="AE1" s="29" t="s">
        <v>84</v>
      </c>
      <c r="AF1" s="29" t="s">
        <v>85</v>
      </c>
      <c r="AG1" s="29" t="s">
        <v>86</v>
      </c>
      <c r="AH1" s="30" t="s">
        <v>87</v>
      </c>
      <c r="AI1" s="30" t="s">
        <v>88</v>
      </c>
      <c r="AJ1" s="30" t="s">
        <v>89</v>
      </c>
      <c r="AK1" s="31" t="s">
        <v>90</v>
      </c>
    </row>
    <row r="2" ht="15.75" customHeight="1">
      <c r="B2" s="14"/>
      <c r="C2" s="7" t="s">
        <v>91</v>
      </c>
      <c r="D2" s="7" t="s">
        <v>92</v>
      </c>
      <c r="E2" s="7" t="s">
        <v>93</v>
      </c>
      <c r="F2" s="7" t="s">
        <v>94</v>
      </c>
      <c r="G2" s="7" t="s">
        <v>95</v>
      </c>
      <c r="H2" s="7" t="s">
        <v>96</v>
      </c>
      <c r="I2" s="7" t="s">
        <v>97</v>
      </c>
      <c r="J2" s="7" t="s">
        <v>98</v>
      </c>
      <c r="K2" s="7" t="s">
        <v>99</v>
      </c>
      <c r="L2" s="7" t="s">
        <v>100</v>
      </c>
      <c r="M2" s="7" t="s">
        <v>101</v>
      </c>
      <c r="N2" s="7" t="s">
        <v>102</v>
      </c>
      <c r="O2" s="7" t="s">
        <v>103</v>
      </c>
      <c r="P2" s="7" t="s">
        <v>104</v>
      </c>
      <c r="Q2" s="7" t="s">
        <v>105</v>
      </c>
      <c r="R2" s="7" t="s">
        <v>106</v>
      </c>
      <c r="S2" s="7" t="s">
        <v>107</v>
      </c>
      <c r="T2" s="7" t="s">
        <v>108</v>
      </c>
      <c r="U2" s="7" t="s">
        <v>109</v>
      </c>
      <c r="V2" s="7" t="s">
        <v>110</v>
      </c>
      <c r="W2" s="7" t="s">
        <v>111</v>
      </c>
      <c r="X2" s="7" t="s">
        <v>112</v>
      </c>
      <c r="Y2" s="7" t="s">
        <v>113</v>
      </c>
      <c r="Z2" s="7" t="s">
        <v>114</v>
      </c>
      <c r="AA2" s="7" t="s">
        <v>115</v>
      </c>
      <c r="AB2" s="7" t="s">
        <v>116</v>
      </c>
      <c r="AC2" s="7" t="s">
        <v>117</v>
      </c>
      <c r="AD2" s="7" t="s">
        <v>118</v>
      </c>
      <c r="AE2" s="7" t="s">
        <v>119</v>
      </c>
      <c r="AF2" s="7" t="s">
        <v>120</v>
      </c>
      <c r="AG2" s="7" t="s">
        <v>121</v>
      </c>
      <c r="AH2" s="7" t="s">
        <v>122</v>
      </c>
      <c r="AI2" s="7" t="s">
        <v>123</v>
      </c>
      <c r="AJ2" s="7" t="s">
        <v>124</v>
      </c>
      <c r="AK2" s="14"/>
      <c r="AL2" s="14"/>
    </row>
    <row r="3" ht="15.75" customHeight="1">
      <c r="A3" s="32" t="s">
        <v>125</v>
      </c>
      <c r="B3" s="33"/>
      <c r="C3" s="34" t="s">
        <v>126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3"/>
      <c r="AK3" s="4"/>
      <c r="AL3" s="4"/>
    </row>
    <row r="4" ht="15.75" customHeight="1">
      <c r="A4" s="7" t="s">
        <v>9</v>
      </c>
      <c r="B4" s="35">
        <f>SUM(C3:AJ4)</f>
        <v>6</v>
      </c>
      <c r="C4" s="35">
        <v>0.0</v>
      </c>
      <c r="D4" s="35">
        <v>0.0</v>
      </c>
      <c r="E4" s="35">
        <v>0.0</v>
      </c>
      <c r="F4" s="35">
        <v>0.0</v>
      </c>
      <c r="G4" s="35">
        <v>0.0</v>
      </c>
      <c r="H4" s="36">
        <v>2.0</v>
      </c>
      <c r="I4" s="36">
        <v>2.0</v>
      </c>
      <c r="J4" s="36">
        <v>2.0</v>
      </c>
      <c r="K4" s="35">
        <v>0.0</v>
      </c>
      <c r="L4" s="35">
        <v>0.0</v>
      </c>
      <c r="M4" s="35">
        <v>0.0</v>
      </c>
      <c r="N4" s="35">
        <v>0.0</v>
      </c>
      <c r="O4" s="35">
        <v>0.0</v>
      </c>
      <c r="P4" s="35">
        <v>0.0</v>
      </c>
      <c r="Q4" s="35">
        <v>0.0</v>
      </c>
      <c r="R4" s="35">
        <v>0.0</v>
      </c>
      <c r="S4" s="35">
        <v>0.0</v>
      </c>
      <c r="T4" s="35">
        <v>0.0</v>
      </c>
      <c r="U4" s="35">
        <v>0.0</v>
      </c>
      <c r="V4" s="35">
        <v>0.0</v>
      </c>
      <c r="W4" s="35">
        <v>0.0</v>
      </c>
      <c r="X4" s="35">
        <v>0.0</v>
      </c>
      <c r="Y4" s="35">
        <v>0.0</v>
      </c>
      <c r="Z4" s="35">
        <v>0.0</v>
      </c>
      <c r="AA4" s="35">
        <v>0.0</v>
      </c>
      <c r="AB4" s="35">
        <v>0.0</v>
      </c>
      <c r="AC4" s="35">
        <v>0.0</v>
      </c>
      <c r="AD4" s="35">
        <v>0.0</v>
      </c>
      <c r="AE4" s="35">
        <v>0.0</v>
      </c>
      <c r="AF4" s="35">
        <v>0.0</v>
      </c>
      <c r="AG4" s="35">
        <v>0.0</v>
      </c>
      <c r="AH4" s="35">
        <v>0.0</v>
      </c>
      <c r="AI4" s="35">
        <v>0.0</v>
      </c>
      <c r="AJ4" s="35">
        <v>0.0</v>
      </c>
      <c r="AK4" s="37"/>
      <c r="AL4" s="37"/>
    </row>
    <row r="5" ht="15.75" customHeight="1">
      <c r="A5" s="7" t="s">
        <v>13</v>
      </c>
      <c r="B5" s="35">
        <f t="shared" ref="B5:B27" si="1">SUM(C5:AJ5)</f>
        <v>10</v>
      </c>
      <c r="C5" s="35">
        <v>0.0</v>
      </c>
      <c r="D5" s="35">
        <v>0.0</v>
      </c>
      <c r="E5" s="36">
        <v>0.72</v>
      </c>
      <c r="F5" s="36">
        <v>0.85</v>
      </c>
      <c r="G5" s="36">
        <v>0.59</v>
      </c>
      <c r="H5" s="36">
        <v>0.66</v>
      </c>
      <c r="I5" s="36">
        <v>0.78</v>
      </c>
      <c r="J5" s="36">
        <v>0.45</v>
      </c>
      <c r="K5" s="36">
        <v>0.91</v>
      </c>
      <c r="L5" s="36">
        <v>0.62</v>
      </c>
      <c r="M5" s="36">
        <v>0.7</v>
      </c>
      <c r="N5" s="36">
        <v>0.81</v>
      </c>
      <c r="O5" s="36">
        <v>0.53</v>
      </c>
      <c r="P5" s="36">
        <v>0.74</v>
      </c>
      <c r="Q5" s="36">
        <v>0.69</v>
      </c>
      <c r="R5" s="36">
        <v>0.95</v>
      </c>
      <c r="S5" s="35">
        <v>0.0</v>
      </c>
      <c r="T5" s="35">
        <v>0.0</v>
      </c>
      <c r="U5" s="35">
        <v>0.0</v>
      </c>
      <c r="V5" s="35">
        <v>0.0</v>
      </c>
      <c r="W5" s="35">
        <v>0.0</v>
      </c>
      <c r="X5" s="35">
        <v>0.0</v>
      </c>
      <c r="Y5" s="35">
        <v>0.0</v>
      </c>
      <c r="Z5" s="35">
        <v>0.0</v>
      </c>
      <c r="AA5" s="35">
        <v>0.0</v>
      </c>
      <c r="AB5" s="35">
        <v>0.0</v>
      </c>
      <c r="AC5" s="35">
        <v>0.0</v>
      </c>
      <c r="AD5" s="35">
        <v>0.0</v>
      </c>
      <c r="AE5" s="35">
        <v>0.0</v>
      </c>
      <c r="AF5" s="35">
        <v>0.0</v>
      </c>
      <c r="AG5" s="35">
        <v>0.0</v>
      </c>
      <c r="AH5" s="35">
        <v>0.0</v>
      </c>
      <c r="AI5" s="35">
        <v>0.0</v>
      </c>
      <c r="AJ5" s="35">
        <v>0.0</v>
      </c>
      <c r="AK5" s="37"/>
      <c r="AL5" s="37"/>
    </row>
    <row r="6" ht="15.75" customHeight="1">
      <c r="A6" s="7" t="s">
        <v>15</v>
      </c>
      <c r="B6" s="35">
        <f t="shared" si="1"/>
        <v>12.04</v>
      </c>
      <c r="C6" s="35">
        <v>0.0</v>
      </c>
      <c r="D6" s="35">
        <v>0.0</v>
      </c>
      <c r="E6" s="35">
        <v>0.0</v>
      </c>
      <c r="F6" s="36">
        <v>0.86</v>
      </c>
      <c r="G6" s="36">
        <v>0.86</v>
      </c>
      <c r="H6" s="36">
        <v>0.86</v>
      </c>
      <c r="I6" s="36">
        <v>0.86</v>
      </c>
      <c r="J6" s="36">
        <v>0.86</v>
      </c>
      <c r="K6" s="36">
        <v>0.86</v>
      </c>
      <c r="L6" s="36">
        <v>0.86</v>
      </c>
      <c r="M6" s="36">
        <v>0.86</v>
      </c>
      <c r="N6" s="36">
        <v>0.86</v>
      </c>
      <c r="O6" s="36">
        <v>0.86</v>
      </c>
      <c r="P6" s="36">
        <v>0.86</v>
      </c>
      <c r="Q6" s="36">
        <v>0.86</v>
      </c>
      <c r="R6" s="36">
        <v>0.86</v>
      </c>
      <c r="S6" s="36">
        <v>0.86</v>
      </c>
      <c r="T6" s="35">
        <v>0.0</v>
      </c>
      <c r="U6" s="35">
        <v>0.0</v>
      </c>
      <c r="V6" s="35">
        <v>0.0</v>
      </c>
      <c r="W6" s="35">
        <v>0.0</v>
      </c>
      <c r="X6" s="35">
        <v>0.0</v>
      </c>
      <c r="Y6" s="35">
        <v>0.0</v>
      </c>
      <c r="Z6" s="35">
        <v>0.0</v>
      </c>
      <c r="AA6" s="35">
        <v>0.0</v>
      </c>
      <c r="AB6" s="35">
        <v>0.0</v>
      </c>
      <c r="AC6" s="35">
        <v>0.0</v>
      </c>
      <c r="AD6" s="35">
        <v>0.0</v>
      </c>
      <c r="AE6" s="35">
        <v>0.0</v>
      </c>
      <c r="AF6" s="35">
        <v>0.0</v>
      </c>
      <c r="AG6" s="35">
        <v>0.0</v>
      </c>
      <c r="AH6" s="35">
        <v>0.0</v>
      </c>
      <c r="AI6" s="35">
        <v>0.0</v>
      </c>
      <c r="AJ6" s="35">
        <v>0.0</v>
      </c>
      <c r="AK6" s="37"/>
      <c r="AL6" s="37"/>
    </row>
    <row r="7" ht="15.75" customHeight="1">
      <c r="A7" s="7" t="s">
        <v>16</v>
      </c>
      <c r="B7" s="35">
        <f t="shared" si="1"/>
        <v>6.03</v>
      </c>
      <c r="C7" s="35">
        <v>0.0</v>
      </c>
      <c r="D7" s="35">
        <v>0.0</v>
      </c>
      <c r="E7" s="35">
        <v>0.0</v>
      </c>
      <c r="F7" s="7"/>
      <c r="G7" s="7"/>
      <c r="H7" s="36">
        <v>0.67</v>
      </c>
      <c r="I7" s="36">
        <v>0.67</v>
      </c>
      <c r="J7" s="36">
        <v>0.67</v>
      </c>
      <c r="K7" s="36">
        <v>0.67</v>
      </c>
      <c r="L7" s="36">
        <v>0.67</v>
      </c>
      <c r="M7" s="36">
        <v>0.67</v>
      </c>
      <c r="N7" s="36">
        <v>0.67</v>
      </c>
      <c r="O7" s="36">
        <v>0.67</v>
      </c>
      <c r="P7" s="36">
        <v>0.67</v>
      </c>
      <c r="Q7" s="35"/>
      <c r="R7" s="35"/>
      <c r="S7" s="35"/>
      <c r="T7" s="35">
        <v>0.0</v>
      </c>
      <c r="U7" s="35">
        <v>0.0</v>
      </c>
      <c r="V7" s="35">
        <v>0.0</v>
      </c>
      <c r="W7" s="35">
        <v>0.0</v>
      </c>
      <c r="X7" s="35">
        <v>0.0</v>
      </c>
      <c r="Y7" s="35">
        <v>0.0</v>
      </c>
      <c r="Z7" s="35">
        <v>0.0</v>
      </c>
      <c r="AA7" s="35">
        <v>0.0</v>
      </c>
      <c r="AB7" s="35">
        <v>0.0</v>
      </c>
      <c r="AC7" s="35">
        <v>0.0</v>
      </c>
      <c r="AD7" s="35">
        <v>0.0</v>
      </c>
      <c r="AE7" s="35">
        <v>0.0</v>
      </c>
      <c r="AF7" s="35">
        <v>0.0</v>
      </c>
      <c r="AG7" s="35">
        <v>0.0</v>
      </c>
      <c r="AH7" s="35">
        <v>0.0</v>
      </c>
      <c r="AI7" s="35">
        <v>0.0</v>
      </c>
      <c r="AJ7" s="35">
        <v>0.0</v>
      </c>
      <c r="AK7" s="37"/>
      <c r="AL7" s="37"/>
    </row>
    <row r="8" ht="15.75" customHeight="1">
      <c r="A8" s="7" t="s">
        <v>17</v>
      </c>
      <c r="B8" s="35">
        <f t="shared" si="1"/>
        <v>6.7</v>
      </c>
      <c r="C8" s="35">
        <v>0.0</v>
      </c>
      <c r="D8" s="35">
        <v>0.0</v>
      </c>
      <c r="E8" s="36">
        <v>0.67</v>
      </c>
      <c r="F8" s="36">
        <v>0.67</v>
      </c>
      <c r="G8" s="36">
        <v>0.67</v>
      </c>
      <c r="H8" s="36">
        <v>0.67</v>
      </c>
      <c r="I8" s="36">
        <v>0.67</v>
      </c>
      <c r="J8" s="36">
        <v>0.67</v>
      </c>
      <c r="K8" s="36">
        <v>0.67</v>
      </c>
      <c r="L8" s="36">
        <v>0.67</v>
      </c>
      <c r="M8" s="36">
        <v>0.67</v>
      </c>
      <c r="N8" s="36">
        <v>0.67</v>
      </c>
      <c r="O8" s="35">
        <v>0.0</v>
      </c>
      <c r="P8" s="35">
        <v>0.0</v>
      </c>
      <c r="Q8" s="35">
        <v>0.0</v>
      </c>
      <c r="R8" s="35">
        <v>0.0</v>
      </c>
      <c r="S8" s="35">
        <v>0.0</v>
      </c>
      <c r="T8" s="35">
        <v>0.0</v>
      </c>
      <c r="U8" s="35">
        <v>0.0</v>
      </c>
      <c r="V8" s="35">
        <v>0.0</v>
      </c>
      <c r="W8" s="35">
        <v>0.0</v>
      </c>
      <c r="X8" s="35">
        <v>0.0</v>
      </c>
      <c r="Y8" s="35">
        <v>0.0</v>
      </c>
      <c r="Z8" s="35">
        <v>0.0</v>
      </c>
      <c r="AA8" s="35">
        <v>0.0</v>
      </c>
      <c r="AB8" s="35">
        <v>0.0</v>
      </c>
      <c r="AC8" s="35">
        <v>0.0</v>
      </c>
      <c r="AD8" s="35">
        <v>0.0</v>
      </c>
      <c r="AE8" s="35">
        <v>0.0</v>
      </c>
      <c r="AF8" s="35">
        <v>0.0</v>
      </c>
      <c r="AG8" s="35">
        <v>0.0</v>
      </c>
      <c r="AH8" s="35">
        <v>0.0</v>
      </c>
      <c r="AI8" s="35">
        <v>0.0</v>
      </c>
      <c r="AJ8" s="35">
        <v>0.0</v>
      </c>
      <c r="AK8" s="37"/>
      <c r="AL8" s="37"/>
    </row>
    <row r="9" ht="15.75" customHeight="1">
      <c r="A9" s="7" t="s">
        <v>20</v>
      </c>
      <c r="B9" s="35">
        <f t="shared" si="1"/>
        <v>5.98</v>
      </c>
      <c r="C9" s="36">
        <v>0.46</v>
      </c>
      <c r="D9" s="36">
        <v>0.46</v>
      </c>
      <c r="E9" s="36">
        <v>0.46</v>
      </c>
      <c r="F9" s="36">
        <v>0.46</v>
      </c>
      <c r="G9" s="36">
        <v>0.46</v>
      </c>
      <c r="H9" s="36">
        <v>0.46</v>
      </c>
      <c r="I9" s="36">
        <v>0.46</v>
      </c>
      <c r="J9" s="36">
        <v>0.46</v>
      </c>
      <c r="K9" s="36">
        <v>0.46</v>
      </c>
      <c r="L9" s="36">
        <v>0.46</v>
      </c>
      <c r="M9" s="36">
        <v>0.46</v>
      </c>
      <c r="N9" s="36">
        <v>0.46</v>
      </c>
      <c r="O9" s="36">
        <v>0.46</v>
      </c>
      <c r="P9" s="35">
        <v>0.0</v>
      </c>
      <c r="Q9" s="35">
        <v>0.0</v>
      </c>
      <c r="R9" s="35">
        <v>0.0</v>
      </c>
      <c r="S9" s="35">
        <v>0.0</v>
      </c>
      <c r="T9" s="35">
        <v>0.0</v>
      </c>
      <c r="U9" s="35">
        <v>0.0</v>
      </c>
      <c r="V9" s="35">
        <v>0.0</v>
      </c>
      <c r="W9" s="35">
        <v>0.0</v>
      </c>
      <c r="X9" s="35">
        <v>0.0</v>
      </c>
      <c r="Y9" s="35">
        <v>0.0</v>
      </c>
      <c r="Z9" s="35">
        <v>0.0</v>
      </c>
      <c r="AA9" s="35">
        <v>0.0</v>
      </c>
      <c r="AB9" s="35">
        <v>0.0</v>
      </c>
      <c r="AC9" s="35">
        <v>0.0</v>
      </c>
      <c r="AD9" s="35">
        <v>0.0</v>
      </c>
      <c r="AE9" s="35">
        <v>0.0</v>
      </c>
      <c r="AF9" s="35">
        <v>0.0</v>
      </c>
      <c r="AG9" s="35">
        <v>0.0</v>
      </c>
      <c r="AH9" s="35">
        <v>0.0</v>
      </c>
      <c r="AI9" s="35">
        <v>0.0</v>
      </c>
      <c r="AJ9" s="35">
        <v>0.0</v>
      </c>
      <c r="AK9" s="37"/>
      <c r="AL9" s="37"/>
    </row>
    <row r="10" ht="15.75" customHeight="1">
      <c r="A10" s="7" t="s">
        <v>23</v>
      </c>
      <c r="B10" s="35">
        <f t="shared" si="1"/>
        <v>12</v>
      </c>
      <c r="C10" s="35">
        <v>0.0</v>
      </c>
      <c r="D10" s="35">
        <v>0.0</v>
      </c>
      <c r="E10" s="35">
        <v>0.0</v>
      </c>
      <c r="F10" s="35">
        <v>0.0</v>
      </c>
      <c r="G10" s="35">
        <v>0.0</v>
      </c>
      <c r="H10" s="36">
        <v>3.0</v>
      </c>
      <c r="I10" s="36">
        <v>3.0</v>
      </c>
      <c r="J10" s="36">
        <v>3.0</v>
      </c>
      <c r="K10" s="36">
        <v>3.0</v>
      </c>
      <c r="L10" s="35">
        <v>0.0</v>
      </c>
      <c r="M10" s="35">
        <v>0.0</v>
      </c>
      <c r="N10" s="35">
        <v>0.0</v>
      </c>
      <c r="O10" s="35">
        <v>0.0</v>
      </c>
      <c r="P10" s="35">
        <v>0.0</v>
      </c>
      <c r="Q10" s="35">
        <v>0.0</v>
      </c>
      <c r="R10" s="35">
        <v>0.0</v>
      </c>
      <c r="S10" s="35">
        <v>0.0</v>
      </c>
      <c r="T10" s="35">
        <v>0.0</v>
      </c>
      <c r="U10" s="35">
        <v>0.0</v>
      </c>
      <c r="V10" s="35">
        <v>0.0</v>
      </c>
      <c r="W10" s="35">
        <v>0.0</v>
      </c>
      <c r="X10" s="35">
        <v>0.0</v>
      </c>
      <c r="Y10" s="35">
        <v>0.0</v>
      </c>
      <c r="Z10" s="35">
        <v>0.0</v>
      </c>
      <c r="AA10" s="35">
        <v>0.0</v>
      </c>
      <c r="AB10" s="35">
        <v>0.0</v>
      </c>
      <c r="AC10" s="35">
        <v>0.0</v>
      </c>
      <c r="AD10" s="35">
        <v>0.0</v>
      </c>
      <c r="AE10" s="35">
        <v>0.0</v>
      </c>
      <c r="AF10" s="35">
        <v>0.0</v>
      </c>
      <c r="AG10" s="35">
        <v>0.0</v>
      </c>
      <c r="AH10" s="35">
        <v>0.0</v>
      </c>
      <c r="AI10" s="35">
        <v>0.0</v>
      </c>
      <c r="AJ10" s="35">
        <v>0.0</v>
      </c>
      <c r="AK10" s="37"/>
      <c r="AL10" s="37"/>
    </row>
    <row r="11" ht="15.75" customHeight="1">
      <c r="A11" s="7" t="s">
        <v>25</v>
      </c>
      <c r="B11" s="35">
        <f t="shared" si="1"/>
        <v>0.5</v>
      </c>
      <c r="C11" s="35">
        <v>0.0</v>
      </c>
      <c r="D11" s="35">
        <v>0.0</v>
      </c>
      <c r="E11" s="35">
        <v>0.0</v>
      </c>
      <c r="F11" s="35">
        <v>0.0</v>
      </c>
      <c r="G11" s="35">
        <v>0.0</v>
      </c>
      <c r="H11" s="35">
        <v>0.0</v>
      </c>
      <c r="I11" s="35">
        <v>0.0</v>
      </c>
      <c r="J11" s="35">
        <v>0.0</v>
      </c>
      <c r="K11" s="35">
        <v>0.0</v>
      </c>
      <c r="L11" s="35">
        <v>0.0</v>
      </c>
      <c r="M11" s="36">
        <v>0.25</v>
      </c>
      <c r="N11" s="36">
        <v>0.25</v>
      </c>
      <c r="O11" s="35">
        <v>0.0</v>
      </c>
      <c r="P11" s="35">
        <v>0.0</v>
      </c>
      <c r="Q11" s="35">
        <v>0.0</v>
      </c>
      <c r="R11" s="35">
        <v>0.0</v>
      </c>
      <c r="S11" s="35">
        <v>0.0</v>
      </c>
      <c r="T11" s="35">
        <v>0.0</v>
      </c>
      <c r="U11" s="35">
        <v>0.0</v>
      </c>
      <c r="V11" s="35">
        <v>0.0</v>
      </c>
      <c r="W11" s="35">
        <v>0.0</v>
      </c>
      <c r="X11" s="35">
        <v>0.0</v>
      </c>
      <c r="Y11" s="35">
        <v>0.0</v>
      </c>
      <c r="Z11" s="35">
        <v>0.0</v>
      </c>
      <c r="AA11" s="35">
        <v>0.0</v>
      </c>
      <c r="AB11" s="35">
        <v>0.0</v>
      </c>
      <c r="AC11" s="35">
        <v>0.0</v>
      </c>
      <c r="AD11" s="35">
        <v>0.0</v>
      </c>
      <c r="AE11" s="35">
        <v>0.0</v>
      </c>
      <c r="AF11" s="35">
        <v>0.0</v>
      </c>
      <c r="AG11" s="35">
        <v>0.0</v>
      </c>
      <c r="AH11" s="35">
        <v>0.0</v>
      </c>
      <c r="AI11" s="35">
        <v>0.0</v>
      </c>
      <c r="AJ11" s="35">
        <v>0.0</v>
      </c>
      <c r="AK11" s="37"/>
      <c r="AL11" s="37"/>
    </row>
    <row r="12" ht="15.75" customHeight="1">
      <c r="A12" s="7" t="s">
        <v>26</v>
      </c>
      <c r="B12" s="35">
        <f t="shared" si="1"/>
        <v>0.4</v>
      </c>
      <c r="C12" s="35">
        <v>0.0</v>
      </c>
      <c r="D12" s="35">
        <v>0.0</v>
      </c>
      <c r="E12" s="35">
        <v>0.0</v>
      </c>
      <c r="F12" s="35">
        <v>0.0</v>
      </c>
      <c r="G12" s="35">
        <v>0.0</v>
      </c>
      <c r="H12" s="35">
        <v>0.0</v>
      </c>
      <c r="I12" s="35">
        <v>0.0</v>
      </c>
      <c r="J12" s="35">
        <v>0.0</v>
      </c>
      <c r="K12" s="35">
        <v>0.0</v>
      </c>
      <c r="L12" s="35">
        <v>0.0</v>
      </c>
      <c r="M12" s="35">
        <v>0.0</v>
      </c>
      <c r="N12" s="35">
        <v>0.0</v>
      </c>
      <c r="O12" s="36">
        <v>0.4</v>
      </c>
      <c r="P12" s="35">
        <v>0.0</v>
      </c>
      <c r="Q12" s="35">
        <v>0.0</v>
      </c>
      <c r="R12" s="35">
        <v>0.0</v>
      </c>
      <c r="S12" s="35">
        <v>0.0</v>
      </c>
      <c r="T12" s="35">
        <v>0.0</v>
      </c>
      <c r="U12" s="35">
        <v>0.0</v>
      </c>
      <c r="V12" s="35">
        <v>0.0</v>
      </c>
      <c r="W12" s="35">
        <v>0.0</v>
      </c>
      <c r="X12" s="35">
        <v>0.0</v>
      </c>
      <c r="Y12" s="35">
        <v>0.0</v>
      </c>
      <c r="Z12" s="35">
        <v>0.0</v>
      </c>
      <c r="AA12" s="35">
        <v>0.0</v>
      </c>
      <c r="AB12" s="35">
        <v>0.0</v>
      </c>
      <c r="AC12" s="35">
        <v>0.0</v>
      </c>
      <c r="AD12" s="35">
        <v>0.0</v>
      </c>
      <c r="AE12" s="35">
        <v>0.0</v>
      </c>
      <c r="AF12" s="35">
        <v>0.0</v>
      </c>
      <c r="AG12" s="35">
        <v>0.0</v>
      </c>
      <c r="AH12" s="35">
        <v>0.0</v>
      </c>
      <c r="AI12" s="35">
        <v>0.0</v>
      </c>
      <c r="AJ12" s="35">
        <v>0.0</v>
      </c>
      <c r="AK12" s="37"/>
      <c r="AL12" s="37"/>
    </row>
    <row r="13" ht="15.75" customHeight="1">
      <c r="A13" s="7" t="s">
        <v>27</v>
      </c>
      <c r="B13" s="35">
        <f t="shared" si="1"/>
        <v>0.4</v>
      </c>
      <c r="C13" s="35">
        <v>0.0</v>
      </c>
      <c r="D13" s="35">
        <v>0.0</v>
      </c>
      <c r="E13" s="35">
        <v>0.0</v>
      </c>
      <c r="F13" s="35">
        <v>0.0</v>
      </c>
      <c r="G13" s="35">
        <v>0.0</v>
      </c>
      <c r="H13" s="35">
        <v>0.0</v>
      </c>
      <c r="I13" s="35">
        <v>0.0</v>
      </c>
      <c r="J13" s="35">
        <v>0.0</v>
      </c>
      <c r="K13" s="35">
        <v>0.0</v>
      </c>
      <c r="L13" s="35">
        <v>0.0</v>
      </c>
      <c r="M13" s="35">
        <v>0.0</v>
      </c>
      <c r="N13" s="35">
        <v>0.0</v>
      </c>
      <c r="O13" s="36">
        <v>0.4</v>
      </c>
      <c r="P13" s="35">
        <v>0.0</v>
      </c>
      <c r="Q13" s="35">
        <v>0.0</v>
      </c>
      <c r="R13" s="35">
        <v>0.0</v>
      </c>
      <c r="S13" s="35">
        <v>0.0</v>
      </c>
      <c r="T13" s="35">
        <v>0.0</v>
      </c>
      <c r="U13" s="35">
        <v>0.0</v>
      </c>
      <c r="V13" s="35">
        <v>0.0</v>
      </c>
      <c r="W13" s="35">
        <v>0.0</v>
      </c>
      <c r="X13" s="35">
        <v>0.0</v>
      </c>
      <c r="Y13" s="35">
        <v>0.0</v>
      </c>
      <c r="Z13" s="35">
        <v>0.0</v>
      </c>
      <c r="AA13" s="35">
        <v>0.0</v>
      </c>
      <c r="AB13" s="35">
        <v>0.0</v>
      </c>
      <c r="AC13" s="35">
        <v>0.0</v>
      </c>
      <c r="AD13" s="35">
        <v>0.0</v>
      </c>
      <c r="AE13" s="35">
        <v>0.0</v>
      </c>
      <c r="AF13" s="35">
        <v>0.0</v>
      </c>
      <c r="AG13" s="35">
        <v>0.0</v>
      </c>
      <c r="AH13" s="35">
        <v>0.0</v>
      </c>
      <c r="AI13" s="35">
        <v>0.0</v>
      </c>
      <c r="AJ13" s="35">
        <v>0.0</v>
      </c>
      <c r="AK13" s="37"/>
      <c r="AL13" s="37"/>
    </row>
    <row r="14" ht="15.75" customHeight="1">
      <c r="A14" s="13" t="s">
        <v>52</v>
      </c>
      <c r="B14" s="35">
        <f t="shared" si="1"/>
        <v>1</v>
      </c>
      <c r="C14" s="35">
        <v>0.0</v>
      </c>
      <c r="D14" s="35">
        <v>0.0</v>
      </c>
      <c r="E14" s="35">
        <v>0.0</v>
      </c>
      <c r="F14" s="35">
        <v>0.0</v>
      </c>
      <c r="G14" s="35">
        <v>0.0</v>
      </c>
      <c r="H14" s="35">
        <v>0.0</v>
      </c>
      <c r="I14" s="35">
        <v>0.0</v>
      </c>
      <c r="J14" s="35">
        <v>0.0</v>
      </c>
      <c r="K14" s="35">
        <v>0.0</v>
      </c>
      <c r="L14" s="35">
        <v>0.0</v>
      </c>
      <c r="M14" s="35">
        <v>0.0</v>
      </c>
      <c r="N14" s="35">
        <v>0.0</v>
      </c>
      <c r="O14" s="35"/>
      <c r="P14" s="35"/>
      <c r="Q14" s="35"/>
      <c r="R14" s="35"/>
      <c r="S14" s="35">
        <v>0.0</v>
      </c>
      <c r="T14" s="35">
        <v>0.0</v>
      </c>
      <c r="U14" s="35">
        <v>0.0</v>
      </c>
      <c r="V14" s="35">
        <v>0.0</v>
      </c>
      <c r="W14" s="35">
        <v>0.0</v>
      </c>
      <c r="X14" s="35">
        <v>0.0</v>
      </c>
      <c r="Y14" s="35">
        <v>0.0</v>
      </c>
      <c r="Z14" s="35">
        <v>0.0</v>
      </c>
      <c r="AA14" s="35">
        <v>0.0</v>
      </c>
      <c r="AB14" s="35">
        <v>0.0</v>
      </c>
      <c r="AC14" s="35">
        <v>0.0</v>
      </c>
      <c r="AD14" s="35">
        <v>0.0</v>
      </c>
      <c r="AE14" s="35">
        <v>0.0</v>
      </c>
      <c r="AF14" s="35">
        <v>0.0</v>
      </c>
      <c r="AG14" s="35">
        <v>0.0</v>
      </c>
      <c r="AH14" s="35">
        <v>0.0</v>
      </c>
      <c r="AI14" s="36">
        <v>1.0</v>
      </c>
      <c r="AJ14" s="35">
        <v>0.0</v>
      </c>
      <c r="AK14" s="37"/>
      <c r="AL14" s="37"/>
    </row>
    <row r="15" ht="15.75" customHeight="1">
      <c r="A15" s="7" t="s">
        <v>31</v>
      </c>
      <c r="B15" s="35">
        <f t="shared" si="1"/>
        <v>1</v>
      </c>
      <c r="C15" s="35">
        <v>0.0</v>
      </c>
      <c r="D15" s="35">
        <v>0.0</v>
      </c>
      <c r="E15" s="35">
        <v>0.0</v>
      </c>
      <c r="F15" s="35">
        <v>0.0</v>
      </c>
      <c r="G15" s="35">
        <v>0.0</v>
      </c>
      <c r="H15" s="35">
        <v>0.0</v>
      </c>
      <c r="I15" s="35">
        <v>0.0</v>
      </c>
      <c r="J15" s="35">
        <v>0.0</v>
      </c>
      <c r="K15" s="35">
        <v>0.0</v>
      </c>
      <c r="L15" s="35">
        <v>0.0</v>
      </c>
      <c r="M15" s="35">
        <v>0.0</v>
      </c>
      <c r="N15" s="36">
        <v>0.2</v>
      </c>
      <c r="O15" s="36">
        <v>0.2</v>
      </c>
      <c r="P15" s="36">
        <v>0.2</v>
      </c>
      <c r="Q15" s="36">
        <v>0.2</v>
      </c>
      <c r="R15" s="36">
        <v>0.2</v>
      </c>
      <c r="S15" s="35">
        <v>0.0</v>
      </c>
      <c r="T15" s="35">
        <v>0.0</v>
      </c>
      <c r="U15" s="35">
        <v>0.0</v>
      </c>
      <c r="V15" s="35">
        <v>0.0</v>
      </c>
      <c r="W15" s="35">
        <v>0.0</v>
      </c>
      <c r="X15" s="35">
        <v>0.0</v>
      </c>
      <c r="Y15" s="35">
        <v>0.0</v>
      </c>
      <c r="Z15" s="35">
        <v>0.0</v>
      </c>
      <c r="AA15" s="35">
        <v>0.0</v>
      </c>
      <c r="AB15" s="35">
        <v>0.0</v>
      </c>
      <c r="AC15" s="35">
        <v>0.0</v>
      </c>
      <c r="AD15" s="35">
        <v>0.0</v>
      </c>
      <c r="AE15" s="35">
        <v>0.0</v>
      </c>
      <c r="AF15" s="35">
        <v>0.0</v>
      </c>
      <c r="AG15" s="35">
        <v>0.0</v>
      </c>
      <c r="AH15" s="35">
        <v>0.0</v>
      </c>
      <c r="AI15" s="35">
        <v>0.0</v>
      </c>
      <c r="AJ15" s="35">
        <v>0.0</v>
      </c>
      <c r="AK15" s="37"/>
      <c r="AL15" s="37"/>
    </row>
    <row r="16" ht="15.75" customHeight="1">
      <c r="A16" s="7" t="s">
        <v>32</v>
      </c>
      <c r="B16" s="35">
        <f t="shared" si="1"/>
        <v>3</v>
      </c>
      <c r="C16" s="35">
        <v>0.0</v>
      </c>
      <c r="D16" s="35">
        <v>0.0</v>
      </c>
      <c r="E16" s="36">
        <v>0.75</v>
      </c>
      <c r="F16" s="36">
        <v>0.75</v>
      </c>
      <c r="G16" s="36">
        <v>0.75</v>
      </c>
      <c r="H16" s="36">
        <v>0.75</v>
      </c>
      <c r="I16" s="35">
        <v>0.0</v>
      </c>
      <c r="J16" s="35">
        <v>0.0</v>
      </c>
      <c r="K16" s="35">
        <v>0.0</v>
      </c>
      <c r="L16" s="35">
        <v>0.0</v>
      </c>
      <c r="M16" s="35">
        <v>0.0</v>
      </c>
      <c r="N16" s="35">
        <v>0.0</v>
      </c>
      <c r="O16" s="35">
        <v>0.0</v>
      </c>
      <c r="P16" s="35">
        <v>0.0</v>
      </c>
      <c r="Q16" s="35">
        <v>0.0</v>
      </c>
      <c r="R16" s="35">
        <v>0.0</v>
      </c>
      <c r="S16" s="35">
        <v>0.0</v>
      </c>
      <c r="T16" s="35">
        <v>0.0</v>
      </c>
      <c r="U16" s="35">
        <v>0.0</v>
      </c>
      <c r="V16" s="35">
        <v>0.0</v>
      </c>
      <c r="W16" s="35">
        <v>0.0</v>
      </c>
      <c r="X16" s="35">
        <v>0.0</v>
      </c>
      <c r="Y16" s="35">
        <v>0.0</v>
      </c>
      <c r="Z16" s="35">
        <v>0.0</v>
      </c>
      <c r="AA16" s="35">
        <v>0.0</v>
      </c>
      <c r="AB16" s="35">
        <v>0.0</v>
      </c>
      <c r="AC16" s="35">
        <v>0.0</v>
      </c>
      <c r="AD16" s="35">
        <v>0.0</v>
      </c>
      <c r="AE16" s="35">
        <v>0.0</v>
      </c>
      <c r="AF16" s="35">
        <v>0.0</v>
      </c>
      <c r="AG16" s="35">
        <v>0.0</v>
      </c>
      <c r="AH16" s="35">
        <v>0.0</v>
      </c>
      <c r="AI16" s="35">
        <v>0.0</v>
      </c>
      <c r="AJ16" s="35">
        <v>0.0</v>
      </c>
      <c r="AK16" s="37"/>
      <c r="AL16" s="37"/>
    </row>
    <row r="17" ht="15.75" customHeight="1">
      <c r="A17" s="7" t="s">
        <v>34</v>
      </c>
      <c r="B17" s="35">
        <f t="shared" si="1"/>
        <v>0.35</v>
      </c>
      <c r="C17" s="35">
        <v>0.0</v>
      </c>
      <c r="D17" s="35">
        <v>0.0</v>
      </c>
      <c r="E17" s="35">
        <v>0.0</v>
      </c>
      <c r="F17" s="35">
        <v>0.0</v>
      </c>
      <c r="G17" s="35">
        <v>0.0</v>
      </c>
      <c r="H17" s="35">
        <v>0.0</v>
      </c>
      <c r="I17" s="35">
        <v>0.0</v>
      </c>
      <c r="J17" s="35">
        <v>0.0</v>
      </c>
      <c r="K17" s="35">
        <v>0.0</v>
      </c>
      <c r="L17" s="35">
        <v>0.0</v>
      </c>
      <c r="M17" s="35">
        <v>0.0</v>
      </c>
      <c r="N17" s="36">
        <v>0.35</v>
      </c>
      <c r="O17" s="35">
        <v>0.0</v>
      </c>
      <c r="P17" s="35">
        <v>0.0</v>
      </c>
      <c r="Q17" s="35">
        <v>0.0</v>
      </c>
      <c r="R17" s="35">
        <v>0.0</v>
      </c>
      <c r="S17" s="35">
        <v>0.0</v>
      </c>
      <c r="T17" s="35">
        <v>0.0</v>
      </c>
      <c r="U17" s="35">
        <v>0.0</v>
      </c>
      <c r="V17" s="35">
        <v>0.0</v>
      </c>
      <c r="W17" s="35">
        <v>0.0</v>
      </c>
      <c r="X17" s="35">
        <v>0.0</v>
      </c>
      <c r="Y17" s="35">
        <v>0.0</v>
      </c>
      <c r="Z17" s="35">
        <v>0.0</v>
      </c>
      <c r="AA17" s="35">
        <v>0.0</v>
      </c>
      <c r="AB17" s="35">
        <v>0.0</v>
      </c>
      <c r="AC17" s="35">
        <v>0.0</v>
      </c>
      <c r="AD17" s="35">
        <v>0.0</v>
      </c>
      <c r="AE17" s="35">
        <v>0.0</v>
      </c>
      <c r="AF17" s="35">
        <v>0.0</v>
      </c>
      <c r="AG17" s="35">
        <v>0.0</v>
      </c>
      <c r="AH17" s="35">
        <v>0.0</v>
      </c>
      <c r="AI17" s="35">
        <v>0.0</v>
      </c>
      <c r="AJ17" s="35">
        <v>0.0</v>
      </c>
      <c r="AK17" s="37"/>
      <c r="AL17" s="37"/>
    </row>
    <row r="18" ht="15.75" customHeight="1">
      <c r="A18" s="7" t="s">
        <v>35</v>
      </c>
      <c r="B18" s="35">
        <f t="shared" si="1"/>
        <v>11.96</v>
      </c>
      <c r="C18" s="35">
        <v>0.0</v>
      </c>
      <c r="D18" s="35">
        <v>0.0</v>
      </c>
      <c r="E18" s="35">
        <v>0.0</v>
      </c>
      <c r="F18" s="35">
        <v>0.0</v>
      </c>
      <c r="G18" s="35">
        <v>0.0</v>
      </c>
      <c r="H18" s="35">
        <v>0.0</v>
      </c>
      <c r="I18" s="35">
        <v>0.0</v>
      </c>
      <c r="J18" s="35">
        <v>0.0</v>
      </c>
      <c r="K18" s="35">
        <v>0.0</v>
      </c>
      <c r="L18" s="35">
        <v>0.0</v>
      </c>
      <c r="M18" s="35">
        <v>0.0</v>
      </c>
      <c r="N18" s="36">
        <v>0.52</v>
      </c>
      <c r="O18" s="36">
        <v>0.52</v>
      </c>
      <c r="P18" s="36">
        <v>0.52</v>
      </c>
      <c r="Q18" s="36">
        <v>0.52</v>
      </c>
      <c r="R18" s="36">
        <v>0.52</v>
      </c>
      <c r="S18" s="36">
        <v>0.52</v>
      </c>
      <c r="T18" s="36">
        <v>0.52</v>
      </c>
      <c r="U18" s="36">
        <v>0.52</v>
      </c>
      <c r="V18" s="36">
        <v>0.52</v>
      </c>
      <c r="W18" s="36">
        <v>0.52</v>
      </c>
      <c r="X18" s="36">
        <v>0.52</v>
      </c>
      <c r="Y18" s="36">
        <v>0.52</v>
      </c>
      <c r="Z18" s="36">
        <v>0.52</v>
      </c>
      <c r="AA18" s="36">
        <v>0.52</v>
      </c>
      <c r="AB18" s="36">
        <v>0.52</v>
      </c>
      <c r="AC18" s="36">
        <v>0.52</v>
      </c>
      <c r="AD18" s="36">
        <v>0.52</v>
      </c>
      <c r="AE18" s="36">
        <v>0.52</v>
      </c>
      <c r="AF18" s="36">
        <v>0.52</v>
      </c>
      <c r="AG18" s="36">
        <v>0.52</v>
      </c>
      <c r="AH18" s="36">
        <v>0.52</v>
      </c>
      <c r="AI18" s="36">
        <v>0.52</v>
      </c>
      <c r="AJ18" s="36">
        <v>0.52</v>
      </c>
      <c r="AK18" s="37"/>
      <c r="AL18" s="37"/>
    </row>
    <row r="19" ht="15.75" customHeight="1">
      <c r="A19" s="7" t="s">
        <v>36</v>
      </c>
      <c r="B19" s="35">
        <f t="shared" si="1"/>
        <v>31.71</v>
      </c>
      <c r="C19" s="35">
        <v>0.0</v>
      </c>
      <c r="D19" s="35">
        <v>0.0</v>
      </c>
      <c r="E19" s="35">
        <v>0.0</v>
      </c>
      <c r="F19" s="35">
        <v>0.0</v>
      </c>
      <c r="G19" s="35">
        <v>0.0</v>
      </c>
      <c r="H19" s="35">
        <v>0.0</v>
      </c>
      <c r="I19" s="35">
        <v>0.0</v>
      </c>
      <c r="J19" s="35">
        <v>0.0</v>
      </c>
      <c r="K19" s="35">
        <v>0.0</v>
      </c>
      <c r="L19" s="35">
        <v>0.0</v>
      </c>
      <c r="M19" s="35">
        <v>0.0</v>
      </c>
      <c r="N19" s="35">
        <v>0.0</v>
      </c>
      <c r="O19" s="35">
        <v>0.0</v>
      </c>
      <c r="P19" s="36">
        <v>1.51</v>
      </c>
      <c r="Q19" s="36">
        <v>1.51</v>
      </c>
      <c r="R19" s="36">
        <v>1.51</v>
      </c>
      <c r="S19" s="36">
        <v>1.51</v>
      </c>
      <c r="T19" s="36">
        <v>1.51</v>
      </c>
      <c r="U19" s="36">
        <v>1.51</v>
      </c>
      <c r="V19" s="36">
        <v>1.51</v>
      </c>
      <c r="W19" s="36">
        <v>1.51</v>
      </c>
      <c r="X19" s="36">
        <v>1.51</v>
      </c>
      <c r="Y19" s="36">
        <v>1.51</v>
      </c>
      <c r="Z19" s="36">
        <v>1.51</v>
      </c>
      <c r="AA19" s="36">
        <v>1.51</v>
      </c>
      <c r="AB19" s="36">
        <v>1.51</v>
      </c>
      <c r="AC19" s="36">
        <v>1.51</v>
      </c>
      <c r="AD19" s="36">
        <v>1.51</v>
      </c>
      <c r="AE19" s="36">
        <v>1.51</v>
      </c>
      <c r="AF19" s="36">
        <v>1.51</v>
      </c>
      <c r="AG19" s="36">
        <v>1.51</v>
      </c>
      <c r="AH19" s="36">
        <v>1.51</v>
      </c>
      <c r="AI19" s="36">
        <v>1.51</v>
      </c>
      <c r="AJ19" s="36">
        <v>1.51</v>
      </c>
      <c r="AK19" s="37"/>
      <c r="AL19" s="37"/>
    </row>
    <row r="20" ht="15.75" customHeight="1">
      <c r="A20" s="7" t="s">
        <v>37</v>
      </c>
      <c r="B20" s="35">
        <f t="shared" si="1"/>
        <v>2.97</v>
      </c>
      <c r="C20" s="35">
        <v>0.0</v>
      </c>
      <c r="D20" s="35">
        <v>0.0</v>
      </c>
      <c r="E20" s="35">
        <v>0.0</v>
      </c>
      <c r="F20" s="35">
        <v>0.0</v>
      </c>
      <c r="G20" s="35">
        <v>0.0</v>
      </c>
      <c r="H20" s="35">
        <v>0.0</v>
      </c>
      <c r="I20" s="35">
        <v>0.0</v>
      </c>
      <c r="J20" s="35">
        <v>0.0</v>
      </c>
      <c r="K20" s="35">
        <v>0.0</v>
      </c>
      <c r="L20" s="35">
        <v>0.0</v>
      </c>
      <c r="M20" s="35">
        <v>0.0</v>
      </c>
      <c r="N20" s="36">
        <v>0.33</v>
      </c>
      <c r="O20" s="36">
        <v>0.33</v>
      </c>
      <c r="P20" s="36">
        <v>0.33</v>
      </c>
      <c r="Q20" s="36">
        <v>0.33</v>
      </c>
      <c r="R20" s="36">
        <v>0.33</v>
      </c>
      <c r="S20" s="36">
        <v>0.33</v>
      </c>
      <c r="T20" s="36">
        <v>0.33</v>
      </c>
      <c r="U20" s="36">
        <v>0.33</v>
      </c>
      <c r="V20" s="36">
        <v>0.33</v>
      </c>
      <c r="W20" s="35">
        <v>0.0</v>
      </c>
      <c r="X20" s="35">
        <v>0.0</v>
      </c>
      <c r="Y20" s="35">
        <v>0.0</v>
      </c>
      <c r="Z20" s="35">
        <v>0.0</v>
      </c>
      <c r="AA20" s="35">
        <v>0.0</v>
      </c>
      <c r="AB20" s="35">
        <v>0.0</v>
      </c>
      <c r="AC20" s="35">
        <v>0.0</v>
      </c>
      <c r="AD20" s="35">
        <v>0.0</v>
      </c>
      <c r="AE20" s="35">
        <v>0.0</v>
      </c>
      <c r="AF20" s="35">
        <v>0.0</v>
      </c>
      <c r="AG20" s="35">
        <v>0.0</v>
      </c>
      <c r="AH20" s="35">
        <v>0.0</v>
      </c>
      <c r="AI20" s="35">
        <v>0.0</v>
      </c>
      <c r="AJ20" s="35">
        <v>0.0</v>
      </c>
      <c r="AK20" s="37"/>
      <c r="AL20" s="37"/>
    </row>
    <row r="21" ht="15.75" customHeight="1">
      <c r="A21" s="7" t="s">
        <v>38</v>
      </c>
      <c r="B21" s="35">
        <f t="shared" si="1"/>
        <v>4</v>
      </c>
      <c r="C21" s="35">
        <v>0.0</v>
      </c>
      <c r="D21" s="35">
        <v>0.0</v>
      </c>
      <c r="E21" s="35">
        <v>0.0</v>
      </c>
      <c r="F21" s="35">
        <v>0.0</v>
      </c>
      <c r="G21" s="35">
        <v>0.0</v>
      </c>
      <c r="H21" s="35">
        <v>0.0</v>
      </c>
      <c r="I21" s="35">
        <v>0.0</v>
      </c>
      <c r="J21" s="35">
        <v>0.0</v>
      </c>
      <c r="K21" s="35">
        <v>0.0</v>
      </c>
      <c r="L21" s="35">
        <v>0.0</v>
      </c>
      <c r="M21" s="35">
        <v>0.0</v>
      </c>
      <c r="N21" s="35">
        <v>0.0</v>
      </c>
      <c r="O21" s="35">
        <v>0.0</v>
      </c>
      <c r="P21" s="35">
        <v>0.0</v>
      </c>
      <c r="Q21" s="35">
        <v>0.0</v>
      </c>
      <c r="R21" s="35">
        <v>0.0</v>
      </c>
      <c r="S21" s="35">
        <v>0.0</v>
      </c>
      <c r="T21" s="35">
        <v>0.0</v>
      </c>
      <c r="U21" s="35">
        <v>0.0</v>
      </c>
      <c r="V21" s="35">
        <v>0.0</v>
      </c>
      <c r="W21" s="35">
        <v>0.0</v>
      </c>
      <c r="X21" s="35">
        <v>0.0</v>
      </c>
      <c r="Y21" s="35">
        <v>0.0</v>
      </c>
      <c r="Z21" s="35">
        <v>0.0</v>
      </c>
      <c r="AA21" s="35">
        <v>0.0</v>
      </c>
      <c r="AB21" s="35">
        <v>0.0</v>
      </c>
      <c r="AC21" s="35">
        <v>0.0</v>
      </c>
      <c r="AD21" s="35">
        <v>0.0</v>
      </c>
      <c r="AE21" s="35">
        <v>0.0</v>
      </c>
      <c r="AF21" s="35">
        <v>0.0</v>
      </c>
      <c r="AG21" s="35">
        <v>0.0</v>
      </c>
      <c r="AH21" s="35">
        <v>0.0</v>
      </c>
      <c r="AI21" s="35">
        <v>0.0</v>
      </c>
      <c r="AJ21" s="36">
        <v>4.0</v>
      </c>
      <c r="AK21" s="37"/>
      <c r="AL21" s="37"/>
    </row>
    <row r="22" ht="15.75" customHeight="1">
      <c r="A22" s="7" t="s">
        <v>39</v>
      </c>
      <c r="B22" s="35">
        <f t="shared" si="1"/>
        <v>50.59</v>
      </c>
      <c r="C22" s="35">
        <v>0.0</v>
      </c>
      <c r="D22" s="35">
        <v>0.0</v>
      </c>
      <c r="E22" s="35">
        <v>0.0</v>
      </c>
      <c r="F22" s="35">
        <v>0.0</v>
      </c>
      <c r="G22" s="35">
        <v>0.0</v>
      </c>
      <c r="H22" s="35">
        <v>0.0</v>
      </c>
      <c r="I22" s="35">
        <v>0.0</v>
      </c>
      <c r="J22" s="35">
        <v>0.0</v>
      </c>
      <c r="K22" s="35">
        <v>0.0</v>
      </c>
      <c r="L22" s="35">
        <v>0.0</v>
      </c>
      <c r="M22" s="35">
        <v>0.0</v>
      </c>
      <c r="N22" s="36">
        <v>2.73</v>
      </c>
      <c r="O22" s="36">
        <v>2.16</v>
      </c>
      <c r="P22" s="36">
        <v>2.35</v>
      </c>
      <c r="Q22" s="36">
        <v>1.89</v>
      </c>
      <c r="R22" s="36">
        <v>2.01</v>
      </c>
      <c r="S22" s="36">
        <v>1.77</v>
      </c>
      <c r="T22" s="36">
        <v>2.88</v>
      </c>
      <c r="U22" s="36">
        <v>2.29</v>
      </c>
      <c r="V22" s="36">
        <v>1.95</v>
      </c>
      <c r="W22" s="36">
        <v>2.44</v>
      </c>
      <c r="X22" s="36">
        <v>1.68</v>
      </c>
      <c r="Y22" s="36">
        <v>2.56</v>
      </c>
      <c r="Z22" s="36">
        <v>2.08</v>
      </c>
      <c r="AA22" s="36">
        <v>1.54</v>
      </c>
      <c r="AB22" s="36">
        <v>2.67</v>
      </c>
      <c r="AC22" s="36">
        <v>2.32</v>
      </c>
      <c r="AD22" s="36">
        <v>1.79</v>
      </c>
      <c r="AE22" s="36">
        <v>2.11</v>
      </c>
      <c r="AF22" s="36">
        <v>2.5</v>
      </c>
      <c r="AG22" s="36">
        <v>1.85</v>
      </c>
      <c r="AH22" s="36">
        <v>2.22</v>
      </c>
      <c r="AI22" s="36">
        <v>2.39</v>
      </c>
      <c r="AJ22" s="36">
        <v>2.41</v>
      </c>
      <c r="AK22" s="37"/>
      <c r="AL22" s="37"/>
    </row>
    <row r="23" ht="15.75" customHeight="1">
      <c r="A23" s="7" t="s">
        <v>40</v>
      </c>
      <c r="B23" s="35">
        <f t="shared" si="1"/>
        <v>5</v>
      </c>
      <c r="C23" s="35">
        <v>0.0</v>
      </c>
      <c r="D23" s="35">
        <v>0.0</v>
      </c>
      <c r="E23" s="35">
        <v>0.0</v>
      </c>
      <c r="F23" s="35">
        <v>0.0</v>
      </c>
      <c r="G23" s="35">
        <v>0.0</v>
      </c>
      <c r="H23" s="35">
        <v>0.0</v>
      </c>
      <c r="I23" s="35">
        <v>0.0</v>
      </c>
      <c r="J23" s="35">
        <v>0.0</v>
      </c>
      <c r="K23" s="35">
        <v>0.0</v>
      </c>
      <c r="L23" s="35">
        <v>0.0</v>
      </c>
      <c r="M23" s="35">
        <v>0.0</v>
      </c>
      <c r="N23" s="35">
        <v>0.0</v>
      </c>
      <c r="O23" s="35">
        <v>0.0</v>
      </c>
      <c r="P23" s="35">
        <v>0.0</v>
      </c>
      <c r="Q23" s="35">
        <v>0.0</v>
      </c>
      <c r="R23" s="35">
        <v>0.0</v>
      </c>
      <c r="S23" s="35">
        <v>0.0</v>
      </c>
      <c r="T23" s="35">
        <v>0.0</v>
      </c>
      <c r="U23" s="35">
        <v>0.0</v>
      </c>
      <c r="V23" s="35">
        <v>0.0</v>
      </c>
      <c r="W23" s="35">
        <v>0.0</v>
      </c>
      <c r="X23" s="35">
        <v>0.0</v>
      </c>
      <c r="Y23" s="35">
        <v>0.0</v>
      </c>
      <c r="Z23" s="35">
        <v>0.0</v>
      </c>
      <c r="AA23" s="35">
        <v>0.0</v>
      </c>
      <c r="AB23" s="35">
        <v>0.0</v>
      </c>
      <c r="AC23" s="35">
        <v>0.0</v>
      </c>
      <c r="AD23" s="35">
        <v>0.0</v>
      </c>
      <c r="AE23" s="35">
        <v>0.0</v>
      </c>
      <c r="AF23" s="35">
        <v>0.0</v>
      </c>
      <c r="AG23" s="35">
        <v>0.0</v>
      </c>
      <c r="AH23" s="35">
        <v>0.0</v>
      </c>
      <c r="AI23" s="36">
        <v>5.0</v>
      </c>
      <c r="AJ23" s="35">
        <v>0.0</v>
      </c>
      <c r="AK23" s="37"/>
      <c r="AL23" s="37"/>
    </row>
    <row r="24" ht="15.75" customHeight="1">
      <c r="A24" s="7" t="s">
        <v>41</v>
      </c>
      <c r="B24" s="35">
        <f t="shared" si="1"/>
        <v>2</v>
      </c>
      <c r="C24" s="35">
        <v>0.0</v>
      </c>
      <c r="D24" s="35">
        <v>0.0</v>
      </c>
      <c r="E24" s="35">
        <v>0.0</v>
      </c>
      <c r="F24" s="35">
        <v>0.0</v>
      </c>
      <c r="G24" s="35">
        <v>0.0</v>
      </c>
      <c r="H24" s="35">
        <v>0.0</v>
      </c>
      <c r="I24" s="35">
        <v>0.0</v>
      </c>
      <c r="J24" s="35">
        <v>0.0</v>
      </c>
      <c r="K24" s="35">
        <v>0.0</v>
      </c>
      <c r="L24" s="35">
        <v>0.0</v>
      </c>
      <c r="M24" s="35">
        <v>0.0</v>
      </c>
      <c r="N24" s="35">
        <v>0.0</v>
      </c>
      <c r="O24" s="35">
        <v>0.0</v>
      </c>
      <c r="P24" s="35">
        <v>0.0</v>
      </c>
      <c r="Q24" s="35">
        <v>0.0</v>
      </c>
      <c r="R24" s="35">
        <v>0.0</v>
      </c>
      <c r="S24" s="35">
        <v>0.0</v>
      </c>
      <c r="T24" s="35">
        <v>0.0</v>
      </c>
      <c r="U24" s="35">
        <v>0.0</v>
      </c>
      <c r="V24" s="35">
        <v>0.0</v>
      </c>
      <c r="W24" s="35">
        <v>0.0</v>
      </c>
      <c r="X24" s="35">
        <v>0.0</v>
      </c>
      <c r="Y24" s="35">
        <v>0.0</v>
      </c>
      <c r="Z24" s="35">
        <v>0.0</v>
      </c>
      <c r="AA24" s="35">
        <v>0.0</v>
      </c>
      <c r="AB24" s="35">
        <v>0.0</v>
      </c>
      <c r="AC24" s="35">
        <v>0.0</v>
      </c>
      <c r="AD24" s="35">
        <v>0.0</v>
      </c>
      <c r="AE24" s="35">
        <v>0.0</v>
      </c>
      <c r="AF24" s="35">
        <v>0.0</v>
      </c>
      <c r="AG24" s="35">
        <v>0.0</v>
      </c>
      <c r="AH24" s="35">
        <v>0.0</v>
      </c>
      <c r="AI24" s="36">
        <v>2.0</v>
      </c>
      <c r="AJ24" s="35">
        <v>0.0</v>
      </c>
      <c r="AK24" s="37"/>
      <c r="AL24" s="37"/>
    </row>
    <row r="25" ht="15.75" customHeight="1">
      <c r="A25" s="7" t="s">
        <v>42</v>
      </c>
      <c r="B25" s="35">
        <f t="shared" si="1"/>
        <v>2</v>
      </c>
      <c r="C25" s="35">
        <v>0.0</v>
      </c>
      <c r="D25" s="35">
        <v>0.0</v>
      </c>
      <c r="E25" s="35">
        <v>0.0</v>
      </c>
      <c r="F25" s="35">
        <v>0.0</v>
      </c>
      <c r="G25" s="35">
        <v>0.0</v>
      </c>
      <c r="H25" s="35">
        <v>0.0</v>
      </c>
      <c r="I25" s="35">
        <v>0.0</v>
      </c>
      <c r="J25" s="35">
        <v>0.0</v>
      </c>
      <c r="K25" s="35">
        <v>0.0</v>
      </c>
      <c r="L25" s="35">
        <v>0.0</v>
      </c>
      <c r="M25" s="35">
        <v>0.0</v>
      </c>
      <c r="N25" s="35">
        <v>0.0</v>
      </c>
      <c r="O25" s="35">
        <v>0.0</v>
      </c>
      <c r="P25" s="35">
        <v>0.0</v>
      </c>
      <c r="Q25" s="35">
        <v>0.0</v>
      </c>
      <c r="R25" s="35">
        <v>0.0</v>
      </c>
      <c r="S25" s="35">
        <v>0.0</v>
      </c>
      <c r="T25" s="35">
        <v>0.0</v>
      </c>
      <c r="U25" s="35">
        <v>0.0</v>
      </c>
      <c r="V25" s="35">
        <v>0.0</v>
      </c>
      <c r="W25" s="35">
        <v>0.0</v>
      </c>
      <c r="X25" s="35">
        <v>0.0</v>
      </c>
      <c r="Y25" s="35">
        <v>0.0</v>
      </c>
      <c r="Z25" s="35">
        <v>0.0</v>
      </c>
      <c r="AA25" s="35">
        <v>0.0</v>
      </c>
      <c r="AB25" s="35">
        <v>0.0</v>
      </c>
      <c r="AC25" s="35">
        <v>0.0</v>
      </c>
      <c r="AD25" s="35">
        <v>0.0</v>
      </c>
      <c r="AE25" s="35">
        <v>0.0</v>
      </c>
      <c r="AF25" s="35">
        <v>0.0</v>
      </c>
      <c r="AG25" s="35">
        <v>0.0</v>
      </c>
      <c r="AH25" s="35">
        <v>0.0</v>
      </c>
      <c r="AI25" s="36">
        <v>2.0</v>
      </c>
      <c r="AJ25" s="35">
        <v>0.0</v>
      </c>
      <c r="AK25" s="37"/>
      <c r="AL25" s="37"/>
    </row>
    <row r="26" ht="15.75" customHeight="1">
      <c r="A26" s="7" t="s">
        <v>43</v>
      </c>
      <c r="B26" s="35">
        <f t="shared" si="1"/>
        <v>0.2</v>
      </c>
      <c r="C26" s="35">
        <v>0.0</v>
      </c>
      <c r="D26" s="35">
        <v>0.0</v>
      </c>
      <c r="E26" s="35">
        <v>0.0</v>
      </c>
      <c r="F26" s="35">
        <v>0.0</v>
      </c>
      <c r="G26" s="35">
        <v>0.0</v>
      </c>
      <c r="H26" s="35">
        <v>0.0</v>
      </c>
      <c r="I26" s="35">
        <v>0.0</v>
      </c>
      <c r="J26" s="36">
        <v>0.2</v>
      </c>
      <c r="K26" s="35">
        <v>0.0</v>
      </c>
      <c r="L26" s="35">
        <v>0.0</v>
      </c>
      <c r="M26" s="35">
        <v>0.0</v>
      </c>
      <c r="N26" s="35">
        <v>0.0</v>
      </c>
      <c r="O26" s="35">
        <v>0.0</v>
      </c>
      <c r="P26" s="35">
        <v>0.0</v>
      </c>
      <c r="Q26" s="35">
        <v>0.0</v>
      </c>
      <c r="R26" s="35">
        <v>0.0</v>
      </c>
      <c r="S26" s="35">
        <v>0.0</v>
      </c>
      <c r="T26" s="35">
        <v>0.0</v>
      </c>
      <c r="U26" s="35">
        <v>0.0</v>
      </c>
      <c r="V26" s="35">
        <v>0.0</v>
      </c>
      <c r="W26" s="35">
        <v>0.0</v>
      </c>
      <c r="X26" s="35">
        <v>0.0</v>
      </c>
      <c r="Y26" s="35">
        <v>0.0</v>
      </c>
      <c r="Z26" s="35">
        <v>0.0</v>
      </c>
      <c r="AA26" s="35">
        <v>0.0</v>
      </c>
      <c r="AB26" s="35">
        <v>0.0</v>
      </c>
      <c r="AC26" s="35">
        <v>0.0</v>
      </c>
      <c r="AD26" s="35">
        <v>0.0</v>
      </c>
      <c r="AE26" s="35">
        <v>0.0</v>
      </c>
      <c r="AF26" s="35">
        <v>0.0</v>
      </c>
      <c r="AG26" s="35">
        <v>0.0</v>
      </c>
      <c r="AH26" s="35">
        <v>0.0</v>
      </c>
      <c r="AI26" s="35">
        <v>0.0</v>
      </c>
      <c r="AJ26" s="35">
        <v>0.0</v>
      </c>
      <c r="AK26" s="37"/>
      <c r="AL26" s="37"/>
    </row>
    <row r="27" ht="15.75" customHeight="1">
      <c r="A27" s="7" t="s">
        <v>44</v>
      </c>
      <c r="B27" s="35">
        <f t="shared" si="1"/>
        <v>2</v>
      </c>
      <c r="C27" s="35">
        <v>0.0</v>
      </c>
      <c r="D27" s="35">
        <v>0.0</v>
      </c>
      <c r="E27" s="35">
        <v>0.0</v>
      </c>
      <c r="F27" s="35">
        <v>0.0</v>
      </c>
      <c r="G27" s="35">
        <v>0.0</v>
      </c>
      <c r="H27" s="35">
        <v>0.0</v>
      </c>
      <c r="I27" s="35">
        <v>0.0</v>
      </c>
      <c r="J27" s="35">
        <v>0.0</v>
      </c>
      <c r="K27" s="35">
        <v>0.0</v>
      </c>
      <c r="L27" s="35">
        <v>0.0</v>
      </c>
      <c r="M27" s="35">
        <v>0.0</v>
      </c>
      <c r="N27" s="35">
        <v>0.0</v>
      </c>
      <c r="O27" s="35">
        <v>0.0</v>
      </c>
      <c r="P27" s="35">
        <v>0.0</v>
      </c>
      <c r="Q27" s="35">
        <v>0.0</v>
      </c>
      <c r="R27" s="35">
        <v>0.0</v>
      </c>
      <c r="S27" s="35">
        <v>0.0</v>
      </c>
      <c r="T27" s="35">
        <v>0.0</v>
      </c>
      <c r="U27" s="35">
        <v>0.0</v>
      </c>
      <c r="V27" s="35">
        <v>0.0</v>
      </c>
      <c r="W27" s="35">
        <v>0.0</v>
      </c>
      <c r="X27" s="35">
        <v>0.0</v>
      </c>
      <c r="Y27" s="35">
        <v>0.0</v>
      </c>
      <c r="Z27" s="35">
        <v>0.0</v>
      </c>
      <c r="AA27" s="35">
        <v>0.0</v>
      </c>
      <c r="AB27" s="35">
        <v>0.0</v>
      </c>
      <c r="AC27" s="35">
        <v>0.0</v>
      </c>
      <c r="AD27" s="35">
        <v>0.0</v>
      </c>
      <c r="AE27" s="35">
        <v>0.0</v>
      </c>
      <c r="AF27" s="35">
        <v>0.0</v>
      </c>
      <c r="AG27" s="35">
        <v>0.0</v>
      </c>
      <c r="AH27" s="35">
        <v>0.0</v>
      </c>
      <c r="AI27" s="36">
        <v>2.0</v>
      </c>
      <c r="AJ27" s="35">
        <v>0.0</v>
      </c>
      <c r="AK27" s="37"/>
      <c r="AL27" s="37"/>
    </row>
    <row r="28" ht="15.75" customHeight="1"/>
    <row r="29" ht="15.75" customHeight="1"/>
    <row r="30" ht="15.75" customHeight="1">
      <c r="A30" s="14" t="s">
        <v>127</v>
      </c>
      <c r="B30" s="14"/>
      <c r="C30" s="14" t="s">
        <v>91</v>
      </c>
      <c r="D30" s="14" t="s">
        <v>92</v>
      </c>
      <c r="E30" s="14" t="s">
        <v>93</v>
      </c>
      <c r="F30" s="14" t="s">
        <v>94</v>
      </c>
      <c r="G30" s="14" t="s">
        <v>95</v>
      </c>
      <c r="H30" s="14" t="s">
        <v>96</v>
      </c>
      <c r="I30" s="14" t="s">
        <v>97</v>
      </c>
      <c r="J30" s="14" t="s">
        <v>98</v>
      </c>
      <c r="K30" s="14" t="s">
        <v>99</v>
      </c>
      <c r="L30" s="14" t="s">
        <v>100</v>
      </c>
      <c r="M30" s="14" t="s">
        <v>101</v>
      </c>
      <c r="N30" s="14" t="s">
        <v>102</v>
      </c>
      <c r="O30" s="14" t="s">
        <v>103</v>
      </c>
      <c r="P30" s="14" t="s">
        <v>104</v>
      </c>
      <c r="Q30" s="14" t="s">
        <v>105</v>
      </c>
      <c r="R30" s="14" t="s">
        <v>106</v>
      </c>
      <c r="S30" s="14" t="s">
        <v>107</v>
      </c>
      <c r="T30" s="14" t="s">
        <v>108</v>
      </c>
      <c r="U30" s="14" t="s">
        <v>109</v>
      </c>
      <c r="V30" s="14" t="s">
        <v>110</v>
      </c>
      <c r="W30" s="14" t="s">
        <v>111</v>
      </c>
      <c r="X30" s="14" t="s">
        <v>112</v>
      </c>
      <c r="Y30" s="14" t="s">
        <v>113</v>
      </c>
      <c r="Z30" s="14" t="s">
        <v>114</v>
      </c>
      <c r="AA30" s="14" t="s">
        <v>115</v>
      </c>
      <c r="AB30" s="14" t="s">
        <v>116</v>
      </c>
      <c r="AC30" s="14" t="s">
        <v>117</v>
      </c>
      <c r="AD30" s="14" t="s">
        <v>118</v>
      </c>
      <c r="AE30" s="14" t="s">
        <v>119</v>
      </c>
      <c r="AF30" s="14" t="s">
        <v>120</v>
      </c>
      <c r="AG30" s="14" t="s">
        <v>121</v>
      </c>
      <c r="AH30" s="14" t="s">
        <v>122</v>
      </c>
      <c r="AI30" s="14" t="s">
        <v>123</v>
      </c>
      <c r="AJ30" s="14" t="s">
        <v>124</v>
      </c>
      <c r="AK30" s="14"/>
      <c r="AL30" s="14"/>
    </row>
    <row r="31" ht="15.75" customHeight="1">
      <c r="A31" s="38">
        <f>SUM(C1:AJ27)</f>
        <v>177.83</v>
      </c>
      <c r="C31" s="14">
        <f t="shared" ref="C31:AJ31" si="2">SUM(C2:C27)</f>
        <v>0.46</v>
      </c>
      <c r="D31" s="14">
        <f t="shared" si="2"/>
        <v>0.46</v>
      </c>
      <c r="E31" s="14">
        <f t="shared" si="2"/>
        <v>2.6</v>
      </c>
      <c r="F31" s="14">
        <f t="shared" si="2"/>
        <v>3.59</v>
      </c>
      <c r="G31" s="14">
        <f t="shared" si="2"/>
        <v>3.33</v>
      </c>
      <c r="H31" s="14">
        <f t="shared" si="2"/>
        <v>9.07</v>
      </c>
      <c r="I31" s="14">
        <f t="shared" si="2"/>
        <v>8.44</v>
      </c>
      <c r="J31" s="14">
        <f t="shared" si="2"/>
        <v>8.31</v>
      </c>
      <c r="K31" s="14">
        <f t="shared" si="2"/>
        <v>6.57</v>
      </c>
      <c r="L31" s="14">
        <f t="shared" si="2"/>
        <v>3.28</v>
      </c>
      <c r="M31" s="14">
        <f t="shared" si="2"/>
        <v>3.61</v>
      </c>
      <c r="N31" s="14">
        <f t="shared" si="2"/>
        <v>7.85</v>
      </c>
      <c r="O31" s="14">
        <f t="shared" si="2"/>
        <v>6.53</v>
      </c>
      <c r="P31" s="14">
        <f t="shared" si="2"/>
        <v>7.18</v>
      </c>
      <c r="Q31" s="14">
        <f t="shared" si="2"/>
        <v>6</v>
      </c>
      <c r="R31" s="14">
        <f t="shared" si="2"/>
        <v>6.38</v>
      </c>
      <c r="S31" s="14">
        <f t="shared" si="2"/>
        <v>4.99</v>
      </c>
      <c r="T31" s="14">
        <f t="shared" si="2"/>
        <v>5.24</v>
      </c>
      <c r="U31" s="14">
        <f t="shared" si="2"/>
        <v>4.65</v>
      </c>
      <c r="V31" s="14">
        <f t="shared" si="2"/>
        <v>4.31</v>
      </c>
      <c r="W31" s="14">
        <f t="shared" si="2"/>
        <v>4.47</v>
      </c>
      <c r="X31" s="14">
        <f t="shared" si="2"/>
        <v>3.71</v>
      </c>
      <c r="Y31" s="14">
        <f t="shared" si="2"/>
        <v>4.59</v>
      </c>
      <c r="Z31" s="14">
        <f t="shared" si="2"/>
        <v>4.11</v>
      </c>
      <c r="AA31" s="14">
        <f t="shared" si="2"/>
        <v>3.57</v>
      </c>
      <c r="AB31" s="14">
        <f t="shared" si="2"/>
        <v>4.7</v>
      </c>
      <c r="AC31" s="14">
        <f t="shared" si="2"/>
        <v>4.35</v>
      </c>
      <c r="AD31" s="14">
        <f t="shared" si="2"/>
        <v>3.82</v>
      </c>
      <c r="AE31" s="14">
        <f t="shared" si="2"/>
        <v>4.14</v>
      </c>
      <c r="AF31" s="14">
        <f t="shared" si="2"/>
        <v>4.53</v>
      </c>
      <c r="AG31" s="14">
        <f t="shared" si="2"/>
        <v>3.88</v>
      </c>
      <c r="AH31" s="14">
        <f t="shared" si="2"/>
        <v>4.25</v>
      </c>
      <c r="AI31" s="14">
        <f t="shared" si="2"/>
        <v>16.42</v>
      </c>
      <c r="AJ31" s="14">
        <f t="shared" si="2"/>
        <v>8.44</v>
      </c>
    </row>
    <row r="32" ht="15.75" customHeight="1">
      <c r="A32" s="14" t="s">
        <v>128</v>
      </c>
      <c r="C32" s="38">
        <f>A31-C31</f>
        <v>177.37</v>
      </c>
      <c r="D32" s="38">
        <f t="shared" ref="D32:AJ32" si="3">C32-D31</f>
        <v>176.91</v>
      </c>
      <c r="E32" s="38">
        <f t="shared" si="3"/>
        <v>174.31</v>
      </c>
      <c r="F32" s="38">
        <f t="shared" si="3"/>
        <v>170.72</v>
      </c>
      <c r="G32" s="38">
        <f t="shared" si="3"/>
        <v>167.39</v>
      </c>
      <c r="H32" s="38">
        <f t="shared" si="3"/>
        <v>158.32</v>
      </c>
      <c r="I32" s="38">
        <f t="shared" si="3"/>
        <v>149.88</v>
      </c>
      <c r="J32" s="38">
        <f t="shared" si="3"/>
        <v>141.57</v>
      </c>
      <c r="K32" s="38">
        <f t="shared" si="3"/>
        <v>135</v>
      </c>
      <c r="L32" s="38">
        <f t="shared" si="3"/>
        <v>131.72</v>
      </c>
      <c r="M32" s="38">
        <f t="shared" si="3"/>
        <v>128.11</v>
      </c>
      <c r="N32" s="38">
        <f t="shared" si="3"/>
        <v>120.26</v>
      </c>
      <c r="O32" s="38">
        <f t="shared" si="3"/>
        <v>113.73</v>
      </c>
      <c r="P32" s="38">
        <f t="shared" si="3"/>
        <v>106.55</v>
      </c>
      <c r="Q32" s="38">
        <f t="shared" si="3"/>
        <v>100.55</v>
      </c>
      <c r="R32" s="38">
        <f t="shared" si="3"/>
        <v>94.17</v>
      </c>
      <c r="S32" s="38">
        <f t="shared" si="3"/>
        <v>89.18</v>
      </c>
      <c r="T32" s="38">
        <f t="shared" si="3"/>
        <v>83.94</v>
      </c>
      <c r="U32" s="38">
        <f t="shared" si="3"/>
        <v>79.29</v>
      </c>
      <c r="V32" s="38">
        <f t="shared" si="3"/>
        <v>74.98</v>
      </c>
      <c r="W32" s="38">
        <f t="shared" si="3"/>
        <v>70.51</v>
      </c>
      <c r="X32" s="38">
        <f t="shared" si="3"/>
        <v>66.8</v>
      </c>
      <c r="Y32" s="38">
        <f t="shared" si="3"/>
        <v>62.21</v>
      </c>
      <c r="Z32" s="38">
        <f t="shared" si="3"/>
        <v>58.1</v>
      </c>
      <c r="AA32" s="38">
        <f t="shared" si="3"/>
        <v>54.53</v>
      </c>
      <c r="AB32" s="38">
        <f t="shared" si="3"/>
        <v>49.83</v>
      </c>
      <c r="AC32" s="38">
        <f t="shared" si="3"/>
        <v>45.48</v>
      </c>
      <c r="AD32" s="38">
        <f t="shared" si="3"/>
        <v>41.66</v>
      </c>
      <c r="AE32" s="38">
        <f t="shared" si="3"/>
        <v>37.52</v>
      </c>
      <c r="AF32" s="38">
        <f t="shared" si="3"/>
        <v>32.99</v>
      </c>
      <c r="AG32" s="38">
        <f t="shared" si="3"/>
        <v>29.11</v>
      </c>
      <c r="AH32" s="38">
        <f t="shared" si="3"/>
        <v>24.86</v>
      </c>
      <c r="AI32" s="38">
        <f t="shared" si="3"/>
        <v>8.44</v>
      </c>
      <c r="AJ32" s="38">
        <f t="shared" si="3"/>
        <v>0</v>
      </c>
    </row>
    <row r="33" ht="15.75" customHeight="1"/>
    <row r="34" ht="15.75" customHeight="1">
      <c r="A34" s="39" t="s">
        <v>129</v>
      </c>
      <c r="C34" s="40">
        <f>C31</f>
        <v>0.46</v>
      </c>
      <c r="D34" s="40">
        <f t="shared" ref="D34:AJ34" si="4">C34+D31</f>
        <v>0.92</v>
      </c>
      <c r="E34" s="40">
        <f t="shared" si="4"/>
        <v>3.52</v>
      </c>
      <c r="F34" s="40">
        <f t="shared" si="4"/>
        <v>7.11</v>
      </c>
      <c r="G34" s="40">
        <f t="shared" si="4"/>
        <v>10.44</v>
      </c>
      <c r="H34" s="40">
        <f t="shared" si="4"/>
        <v>19.51</v>
      </c>
      <c r="I34" s="40">
        <f t="shared" si="4"/>
        <v>27.95</v>
      </c>
      <c r="J34" s="40">
        <f t="shared" si="4"/>
        <v>36.26</v>
      </c>
      <c r="K34" s="40">
        <f t="shared" si="4"/>
        <v>42.83</v>
      </c>
      <c r="L34" s="40">
        <f t="shared" si="4"/>
        <v>46.11</v>
      </c>
      <c r="M34" s="40">
        <f t="shared" si="4"/>
        <v>49.72</v>
      </c>
      <c r="N34" s="40">
        <f t="shared" si="4"/>
        <v>57.57</v>
      </c>
      <c r="O34" s="40">
        <f t="shared" si="4"/>
        <v>64.1</v>
      </c>
      <c r="P34" s="40">
        <f t="shared" si="4"/>
        <v>71.28</v>
      </c>
      <c r="Q34" s="40">
        <f t="shared" si="4"/>
        <v>77.28</v>
      </c>
      <c r="R34" s="40">
        <f t="shared" si="4"/>
        <v>83.66</v>
      </c>
      <c r="S34" s="40">
        <f t="shared" si="4"/>
        <v>88.65</v>
      </c>
      <c r="T34" s="40">
        <f t="shared" si="4"/>
        <v>93.89</v>
      </c>
      <c r="U34" s="40">
        <f t="shared" si="4"/>
        <v>98.54</v>
      </c>
      <c r="V34" s="40">
        <f t="shared" si="4"/>
        <v>102.85</v>
      </c>
      <c r="W34" s="40">
        <f t="shared" si="4"/>
        <v>107.32</v>
      </c>
      <c r="X34" s="40">
        <f t="shared" si="4"/>
        <v>111.03</v>
      </c>
      <c r="Y34" s="40">
        <f t="shared" si="4"/>
        <v>115.62</v>
      </c>
      <c r="Z34" s="40">
        <f t="shared" si="4"/>
        <v>119.73</v>
      </c>
      <c r="AA34" s="40">
        <f t="shared" si="4"/>
        <v>123.3</v>
      </c>
      <c r="AB34" s="40">
        <f t="shared" si="4"/>
        <v>128</v>
      </c>
      <c r="AC34" s="40">
        <f t="shared" si="4"/>
        <v>132.35</v>
      </c>
      <c r="AD34" s="40">
        <f t="shared" si="4"/>
        <v>136.17</v>
      </c>
      <c r="AE34" s="40">
        <f t="shared" si="4"/>
        <v>140.31</v>
      </c>
      <c r="AF34" s="40">
        <f t="shared" si="4"/>
        <v>144.84</v>
      </c>
      <c r="AG34" s="40">
        <f t="shared" si="4"/>
        <v>148.72</v>
      </c>
      <c r="AH34" s="40">
        <f t="shared" si="4"/>
        <v>152.97</v>
      </c>
      <c r="AI34" s="40">
        <f t="shared" si="4"/>
        <v>169.39</v>
      </c>
      <c r="AJ34" s="40">
        <f t="shared" si="4"/>
        <v>177.83</v>
      </c>
      <c r="AK34" s="14"/>
    </row>
    <row r="35" ht="15.75" customHeight="1"/>
    <row r="36" ht="15.75" customHeight="1">
      <c r="O36" s="38"/>
    </row>
    <row r="37" ht="15.75" customHeight="1">
      <c r="N37" s="1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1">
    <mergeCell ref="C3:AJ3"/>
  </mergeCells>
  <drawing r:id="rId1"/>
  <tableParts count="1">
    <tablePart r:id="rId3"/>
  </tableParts>
</worksheet>
</file>