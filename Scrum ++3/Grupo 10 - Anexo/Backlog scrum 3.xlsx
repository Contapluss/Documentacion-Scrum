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sin tiempo" sheetId="1" r:id="rId4"/>
    <sheet state="visible" name="Backlog con tiempo" sheetId="2" r:id="rId5"/>
    <sheet state="visible" name="Tabla de esfuerzo" sheetId="3" r:id="rId6"/>
  </sheets>
  <definedNames/>
  <calcPr/>
</workbook>
</file>

<file path=xl/sharedStrings.xml><?xml version="1.0" encoding="utf-8"?>
<sst xmlns="http://schemas.openxmlformats.org/spreadsheetml/2006/main" count="334" uniqueCount="91">
  <si>
    <t>PILA DEL PRODUCTO</t>
  </si>
  <si>
    <t>Prioridad</t>
  </si>
  <si>
    <t>Categoria</t>
  </si>
  <si>
    <t>Tarea</t>
  </si>
  <si>
    <t>Responsable</t>
  </si>
  <si>
    <t>Estimar HH</t>
  </si>
  <si>
    <t>Estado</t>
  </si>
  <si>
    <t>OBJETIVO DEL SPRINT</t>
  </si>
  <si>
    <t>3 = Prioridad Alta (Crítico, bloqueante)</t>
  </si>
  <si>
    <t>Capa vista</t>
  </si>
  <si>
    <t>Crear pagina de Contratos</t>
  </si>
  <si>
    <t>Joaquin Bello</t>
  </si>
  <si>
    <t>En curso</t>
  </si>
  <si>
    <t>Generar Plataforma de contratos</t>
  </si>
  <si>
    <t>2 = Prioridad Media (Necesario para funcionalidad completa)</t>
  </si>
  <si>
    <t>Crear componente de sidebar</t>
  </si>
  <si>
    <t>Generar componente</t>
  </si>
  <si>
    <t>1 = Prioridad Baja (Soporte, gestión, optimización)</t>
  </si>
  <si>
    <t>Crear componente de LoginAndRegisterPage</t>
  </si>
  <si>
    <t>Generar Plataforma de Logeo</t>
  </si>
  <si>
    <t xml:space="preserve"> </t>
  </si>
  <si>
    <t>Mostrar logo de contaplus dentro de app</t>
  </si>
  <si>
    <t>arreglar Bug</t>
  </si>
  <si>
    <t>Crear pagina de Epp</t>
  </si>
  <si>
    <t>Daniel D</t>
  </si>
  <si>
    <t>Generar plataforma de EPP</t>
  </si>
  <si>
    <t>Crear pagina de permisos</t>
  </si>
  <si>
    <t>Generar plataforma de Permisos</t>
  </si>
  <si>
    <t>React: cree la pagina de error 404</t>
  </si>
  <si>
    <t>Generar pagina de Error</t>
  </si>
  <si>
    <t>Crear componente de navbar</t>
  </si>
  <si>
    <t>Crear pagina de datos de empresa</t>
  </si>
  <si>
    <t>Generar plataforma de empresa</t>
  </si>
  <si>
    <t>Crear pagina de Recuperar contraseña</t>
  </si>
  <si>
    <t>Crear pagina de trabajadores</t>
  </si>
  <si>
    <t>Generar plataforma de trabajadores</t>
  </si>
  <si>
    <t>Crear pagina de ver_trabajadores</t>
  </si>
  <si>
    <t>Capa controlador</t>
  </si>
  <si>
    <t>hacer las secciones y la persistencia</t>
  </si>
  <si>
    <t>Crear pagina de ODI</t>
  </si>
  <si>
    <t>Generar plataforma de ODI</t>
  </si>
  <si>
    <t>Desarrollo conexiones</t>
  </si>
  <si>
    <t>Hacer conexion pagina de recuperar contraseña</t>
  </si>
  <si>
    <t>Desarrollo base de datos</t>
  </si>
  <si>
    <t>Crear endpoint (API) para Crear nueva plantilla de contrato</t>
  </si>
  <si>
    <t>Alvaro Brizuela</t>
  </si>
  <si>
    <t>Base de datos para Contrato</t>
  </si>
  <si>
    <t>Crear endpoint (API) para Obtener lista de plantillas</t>
  </si>
  <si>
    <t>Jairo Carrasco</t>
  </si>
  <si>
    <t>Crear endpoint (API) para Crear nueva cláusula</t>
  </si>
  <si>
    <t>Edson Yañez Retamal</t>
  </si>
  <si>
    <t>Crear endpoint (API) para Generar nuevo contrato (usando una plantilla y datos del trabajador)</t>
  </si>
  <si>
    <t>Crear endpoint (API) para Añadir anexo a contrato existente</t>
  </si>
  <si>
    <t>Crear endpoint (API) para Crear nuevo item EPP (para el inventario)</t>
  </si>
  <si>
    <t>base dae datos para plataforma de EPP</t>
  </si>
  <si>
    <t>Crear endpoint (API) para Asignar EPP a un trabajador</t>
  </si>
  <si>
    <t>Crear endpoint (API) para Subir PDF de asignación de EPP</t>
  </si>
  <si>
    <t>Crear pagina de Cargos</t>
  </si>
  <si>
    <t>Generar plataforma de Cargos</t>
  </si>
  <si>
    <t>Proyecto</t>
  </si>
  <si>
    <t>Inicio</t>
  </si>
  <si>
    <t>Fin</t>
  </si>
  <si>
    <t>HH Efectivas</t>
  </si>
  <si>
    <t>Listo</t>
  </si>
  <si>
    <t>17/20/2025</t>
  </si>
  <si>
    <t>HH efectivas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</si>
  <si>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</si>
  <si>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</si>
  <si>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</si>
  <si>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</si>
  <si>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</si>
  <si>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</si>
  <si>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</si>
  <si>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</si>
  <si>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</si>
  <si>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</si>
  <si>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</si>
  <si>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</si>
  <si>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</si>
  <si>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</si>
  <si>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</si>
  <si>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</si>
  <si>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</si>
  <si>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</si>
  <si>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Suma</t>
  </si>
  <si>
    <t>BurnDown</t>
  </si>
  <si>
    <t>BurndUp</t>
  </si>
  <si>
    <t>Horas estimadas</t>
  </si>
  <si>
    <t>Burn Down</t>
  </si>
  <si>
    <t>Suma de horas estimadas</t>
  </si>
  <si>
    <t>Burn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</si>
</sst>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yy"/>
    <numFmt numFmtId="166" formatCode="dd&quot;-&quot;mm&quot;-&quot;yyyy"/>
    <numFmt numFmtId="167" formatCode="dd/mm/yyyy"/>
  </numFmts>
  <fonts count="9">
    <font>
      <sz val="10.0"/>
      <color rgb="FF000000"/>
      <name val="Arial"/>
      <scheme val="minor"/>
    </font>
    <font>
      <color theme="1"/>
      <name val="Arial"/>
    </font>
    <font/>
    <font>
      <sz val="11.0"/>
      <color theme="1"/>
      <name val="Calibri"/>
    </font>
    <font>
      <sz val="11.0"/>
      <color rgb="FFFF66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rgb="FF008000"/>
      <name val="Calibri"/>
    </font>
    <font>
      <sz val="11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008000"/>
        <bgColor rgb="FF008000"/>
      </patternFill>
    </fill>
    <fill>
      <patternFill patternType="solid">
        <fgColor rgb="FFE9EEF6"/>
        <bgColor rgb="FFE9EEF6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vertical="bottom"/>
    </xf>
    <xf borderId="4" fillId="3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top"/>
    </xf>
    <xf borderId="4" fillId="0" fontId="4" numFmtId="0" xfId="0" applyAlignment="1" applyBorder="1" applyFont="1">
      <alignment vertical="top"/>
    </xf>
    <xf borderId="0" fillId="0" fontId="5" numFmtId="0" xfId="0" applyAlignment="1" applyFont="1">
      <alignment readingOrder="0"/>
    </xf>
    <xf borderId="4" fillId="0" fontId="1" numFmtId="0" xfId="0" applyAlignment="1" applyBorder="1" applyFont="1">
      <alignment readingOrder="0" vertical="top"/>
    </xf>
    <xf borderId="4" fillId="0" fontId="5" numFmtId="0" xfId="0" applyAlignment="1" applyBorder="1" applyFont="1">
      <alignment readingOrder="0"/>
    </xf>
    <xf borderId="4" fillId="0" fontId="6" numFmtId="0" xfId="0" applyAlignment="1" applyBorder="1" applyFont="1">
      <alignment readingOrder="0" vertical="top"/>
    </xf>
    <xf borderId="5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top"/>
    </xf>
    <xf borderId="5" fillId="0" fontId="4" numFmtId="0" xfId="0" applyAlignment="1" applyBorder="1" applyFont="1">
      <alignment vertical="top"/>
    </xf>
    <xf borderId="6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vertical="bottom"/>
    </xf>
    <xf borderId="6" fillId="0" fontId="3" numFmtId="0" xfId="0" applyAlignment="1" applyBorder="1" applyFont="1">
      <alignment vertical="top"/>
    </xf>
    <xf borderId="6" fillId="0" fontId="4" numFmtId="0" xfId="0" applyAlignment="1" applyBorder="1" applyFont="1">
      <alignment vertical="top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1" numFmtId="0" xfId="0" applyAlignment="1" applyFont="1">
      <alignment vertical="top"/>
    </xf>
    <xf borderId="2" fillId="4" fontId="1" numFmtId="0" xfId="0" applyAlignment="1" applyBorder="1" applyFill="1" applyFont="1">
      <alignment horizontal="center" vertical="bottom"/>
    </xf>
    <xf borderId="7" fillId="2" fontId="1" numFmtId="0" xfId="0" applyAlignment="1" applyBorder="1" applyFont="1">
      <alignment vertical="bottom"/>
    </xf>
    <xf borderId="7" fillId="3" fontId="1" numFmtId="0" xfId="0" applyAlignment="1" applyBorder="1" applyFont="1">
      <alignment vertical="bottom"/>
    </xf>
    <xf borderId="4" fillId="4" fontId="1" numFmtId="0" xfId="0" applyAlignment="1" applyBorder="1" applyFont="1">
      <alignment horizontal="center" vertical="bottom"/>
    </xf>
    <xf borderId="4" fillId="0" fontId="7" numFmtId="0" xfId="0" applyAlignment="1" applyBorder="1" applyFont="1">
      <alignment readingOrder="0" vertical="top"/>
    </xf>
    <xf borderId="4" fillId="0" fontId="1" numFmtId="164" xfId="0" applyAlignment="1" applyBorder="1" applyFont="1" applyNumberFormat="1">
      <alignment horizontal="right" readingOrder="0" vertical="bottom"/>
    </xf>
    <xf borderId="4" fillId="0" fontId="1" numFmtId="165" xfId="0" applyAlignment="1" applyBorder="1" applyFont="1" applyNumberFormat="1">
      <alignment horizontal="right" readingOrder="0" vertical="bottom"/>
    </xf>
    <xf borderId="4" fillId="0" fontId="5" numFmtId="164" xfId="0" applyAlignment="1" applyBorder="1" applyFont="1" applyNumberFormat="1">
      <alignment readingOrder="0"/>
    </xf>
    <xf borderId="5" fillId="0" fontId="7" numFmtId="0" xfId="0" applyAlignment="1" applyBorder="1" applyFont="1">
      <alignment readingOrder="0" vertical="top"/>
    </xf>
    <xf borderId="5" fillId="0" fontId="1" numFmtId="164" xfId="0" applyAlignment="1" applyBorder="1" applyFont="1" applyNumberFormat="1">
      <alignment readingOrder="0" vertical="bottom"/>
    </xf>
    <xf borderId="6" fillId="0" fontId="1" numFmtId="0" xfId="0" applyAlignment="1" applyBorder="1" applyFont="1">
      <alignment vertical="top"/>
    </xf>
    <xf borderId="6" fillId="0" fontId="1" numFmtId="166" xfId="0" applyAlignment="1" applyBorder="1" applyFont="1" applyNumberFormat="1">
      <alignment vertical="bottom"/>
    </xf>
    <xf borderId="0" fillId="0" fontId="7" numFmtId="0" xfId="0" applyAlignment="1" applyFont="1">
      <alignment vertical="top"/>
    </xf>
    <xf borderId="0" fillId="0" fontId="1" numFmtId="166" xfId="0" applyAlignment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  <xf borderId="0" fillId="0" fontId="5" numFmtId="164" xfId="0" applyAlignment="1" applyFont="1" applyNumberFormat="1">
      <alignment readingOrder="0"/>
    </xf>
    <xf borderId="4" fillId="0" fontId="1" numFmtId="167" xfId="0" applyAlignment="1" applyBorder="1" applyFont="1" applyNumberFormat="1">
      <alignment readingOrder="0"/>
    </xf>
    <xf borderId="4" fillId="0" fontId="1" numFmtId="4" xfId="0" applyAlignment="1" applyBorder="1" applyFont="1" applyNumberFormat="1">
      <alignment horizontal="right" vertical="bottom"/>
    </xf>
    <xf borderId="4" fillId="0" fontId="5" numFmtId="0" xfId="0" applyBorder="1" applyFont="1"/>
    <xf borderId="4" fillId="5" fontId="5" numFmtId="0" xfId="0" applyAlignment="1" applyBorder="1" applyFill="1" applyFont="1">
      <alignment readingOrder="0"/>
    </xf>
    <xf borderId="0" fillId="0" fontId="5" numFmtId="4" xfId="0" applyFont="1" applyNumberFormat="1"/>
    <xf borderId="0" fillId="0" fontId="5" numFmtId="0" xfId="0" applyFont="1"/>
    <xf borderId="0" fillId="0" fontId="1" numFmtId="0" xfId="0" applyAlignment="1" applyFont="1">
      <alignment horizontal="right" readingOrder="0" vertical="bottom"/>
    </xf>
    <xf borderId="0" fillId="6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Gráfico Burn-down</a:t>
            </a:r>
          </a:p>
        </c:rich>
      </c:tx>
      <c:overlay val="0"/>
    </c:title>
    <c:plotArea>
      <c:layout/>
      <c:lineChart>
        <c:ser>
          <c:idx val="0"/>
          <c:order val="0"/>
          <c:tx>
            <c:v>HH efectivas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'Tabla de esfuerzo'!$C$28:$T$28</c:f>
            </c:strRef>
          </c:cat>
          <c:val>
            <c:numRef>
              <c:f>'Tabla de esfuerzo'!$C$30:$T$30</c:f>
              <c:numCache/>
            </c:numRef>
          </c:val>
          <c:smooth val="0"/>
        </c:ser>
        <c:ser>
          <c:idx val="1"/>
          <c:order val="1"/>
          <c:tx>
            <c:v>HH estimadas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'Tabla de esfuerzo'!$C$28:$T$28</c:f>
            </c:strRef>
          </c:cat>
          <c:val>
            <c:numRef>
              <c:f>'Tabla de esfuerzo'!$B$59:$Y$59</c:f>
              <c:numCache/>
            </c:numRef>
          </c:val>
          <c:smooth val="0"/>
        </c:ser>
        <c:axId val="1521953467"/>
        <c:axId val="758434913"/>
      </c:lineChart>
      <c:catAx>
        <c:axId val="1521953467"/>
        <c:scaling>
          <c:orientation val="minMax"/>
          <c:max val="19.27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434913"/>
      </c:catAx>
      <c:valAx>
        <c:axId val="758434913"/>
        <c:scaling>
          <c:orientation val="minMax"/>
          <c:max val="102.9908333333333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95346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Gráfico Burn-up</a:t>
            </a:r>
          </a:p>
        </c:rich>
      </c:tx>
      <c:overlay val="0"/>
    </c:title>
    <c:plotArea>
      <c:layout/>
      <c:lineChart>
        <c:ser>
          <c:idx val="0"/>
          <c:order val="0"/>
          <c:tx>
            <c:v>HH efectivas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'Tabla de esfuerzo'!$C$28:$T$28</c:f>
            </c:strRef>
          </c:cat>
          <c:val>
            <c:numRef>
              <c:f>'Tabla de esfuerzo'!$C$31:$T$31</c:f>
              <c:numCache/>
            </c:numRef>
          </c:val>
          <c:smooth val="0"/>
        </c:ser>
        <c:ser>
          <c:idx val="1"/>
          <c:order val="1"/>
          <c:tx>
            <c:v>HH Estimadas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'Tabla de esfuerzo'!$C$28:$T$28</c:f>
            </c:strRef>
          </c:cat>
          <c:val>
            <c:numRef>
              <c:f>'Tabla de esfuerzo'!$B$62:$R$62</c:f>
              <c:numCache/>
            </c:numRef>
          </c:val>
          <c:smooth val="0"/>
        </c:ser>
        <c:axId val="1752547799"/>
        <c:axId val="1766922757"/>
      </c:lineChart>
      <c:catAx>
        <c:axId val="1752547799"/>
        <c:scaling>
          <c:orientation val="minMax"/>
          <c:max val="19.27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922757"/>
      </c:catAx>
      <c:valAx>
        <c:axId val="1766922757"/>
        <c:scaling>
          <c:orientation val="minMax"/>
          <c:max val="100.1091666666666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Historias de Usuario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5477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34</xdr:row>
      <xdr:rowOff>0</xdr:rowOff>
    </xdr:from>
    <xdr:ext cx="4762500" cy="28575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34</xdr:row>
      <xdr:rowOff>0</xdr:rowOff>
    </xdr:from>
    <xdr:ext cx="4762500" cy="28575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9.5"/>
    <col customWidth="1" min="3" max="3" width="115.63"/>
    <col customWidth="1" min="4" max="4" width="21.38"/>
    <col customWidth="1" min="7" max="7" width="30.63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I2" s="6" t="s">
        <v>8</v>
      </c>
    </row>
    <row r="3">
      <c r="A3" s="7">
        <v>2.0</v>
      </c>
      <c r="B3" s="8" t="s">
        <v>9</v>
      </c>
      <c r="C3" s="8" t="s">
        <v>10</v>
      </c>
      <c r="D3" s="9" t="s">
        <v>11</v>
      </c>
      <c r="E3" s="7">
        <v>4.0</v>
      </c>
      <c r="F3" s="10" t="s">
        <v>12</v>
      </c>
      <c r="G3" s="8" t="s">
        <v>13</v>
      </c>
      <c r="I3" s="6" t="s">
        <v>14</v>
      </c>
    </row>
    <row r="4">
      <c r="A4" s="7">
        <v>3.0</v>
      </c>
      <c r="B4" s="8" t="s">
        <v>9</v>
      </c>
      <c r="C4" s="8" t="s">
        <v>15</v>
      </c>
      <c r="D4" s="9" t="s">
        <v>11</v>
      </c>
      <c r="E4" s="7">
        <v>10.0</v>
      </c>
      <c r="F4" s="10" t="s">
        <v>12</v>
      </c>
      <c r="G4" s="8" t="s">
        <v>16</v>
      </c>
      <c r="I4" s="6" t="s">
        <v>17</v>
      </c>
    </row>
    <row r="5">
      <c r="A5" s="7">
        <v>3.0</v>
      </c>
      <c r="B5" s="8" t="s">
        <v>9</v>
      </c>
      <c r="C5" s="8" t="s">
        <v>18</v>
      </c>
      <c r="D5" s="9" t="s">
        <v>11</v>
      </c>
      <c r="E5" s="7">
        <v>4.0</v>
      </c>
      <c r="F5" s="10" t="s">
        <v>12</v>
      </c>
      <c r="G5" s="8" t="s">
        <v>19</v>
      </c>
      <c r="H5" s="11" t="s">
        <v>20</v>
      </c>
    </row>
    <row r="6">
      <c r="A6" s="7">
        <v>1.0</v>
      </c>
      <c r="B6" s="8" t="s">
        <v>9</v>
      </c>
      <c r="C6" s="8" t="s">
        <v>21</v>
      </c>
      <c r="D6" s="9" t="s">
        <v>11</v>
      </c>
      <c r="E6" s="7">
        <v>1.0</v>
      </c>
      <c r="F6" s="10" t="s">
        <v>12</v>
      </c>
      <c r="G6" s="8" t="s">
        <v>22</v>
      </c>
    </row>
    <row r="7">
      <c r="A7" s="7">
        <v>2.0</v>
      </c>
      <c r="B7" s="8" t="s">
        <v>9</v>
      </c>
      <c r="C7" s="8" t="s">
        <v>23</v>
      </c>
      <c r="D7" s="12" t="s">
        <v>24</v>
      </c>
      <c r="E7" s="7">
        <v>3.0</v>
      </c>
      <c r="F7" s="10" t="s">
        <v>12</v>
      </c>
      <c r="G7" s="8" t="s">
        <v>25</v>
      </c>
    </row>
    <row r="8">
      <c r="A8" s="7">
        <v>2.0</v>
      </c>
      <c r="B8" s="8" t="s">
        <v>9</v>
      </c>
      <c r="C8" s="8" t="s">
        <v>26</v>
      </c>
      <c r="D8" s="12" t="s">
        <v>24</v>
      </c>
      <c r="E8" s="7">
        <v>3.0</v>
      </c>
      <c r="F8" s="10" t="s">
        <v>12</v>
      </c>
      <c r="G8" s="8" t="s">
        <v>27</v>
      </c>
    </row>
    <row r="9">
      <c r="A9" s="7">
        <v>1.0</v>
      </c>
      <c r="B9" s="8" t="s">
        <v>9</v>
      </c>
      <c r="C9" s="8" t="s">
        <v>28</v>
      </c>
      <c r="D9" s="9" t="s">
        <v>11</v>
      </c>
      <c r="E9" s="7">
        <v>1.0</v>
      </c>
      <c r="F9" s="10" t="s">
        <v>12</v>
      </c>
      <c r="G9" s="8" t="s">
        <v>29</v>
      </c>
    </row>
    <row r="10">
      <c r="A10" s="7">
        <v>3.0</v>
      </c>
      <c r="B10" s="8" t="s">
        <v>9</v>
      </c>
      <c r="C10" s="8" t="s">
        <v>30</v>
      </c>
      <c r="D10" s="9" t="s">
        <v>11</v>
      </c>
      <c r="E10" s="7">
        <v>3.0</v>
      </c>
      <c r="F10" s="10" t="s">
        <v>12</v>
      </c>
      <c r="G10" s="8" t="s">
        <v>16</v>
      </c>
    </row>
    <row r="11">
      <c r="A11" s="7">
        <v>2.0</v>
      </c>
      <c r="B11" s="8" t="s">
        <v>9</v>
      </c>
      <c r="C11" s="8" t="s">
        <v>31</v>
      </c>
      <c r="D11" s="9" t="s">
        <v>11</v>
      </c>
      <c r="E11" s="7">
        <v>1.0</v>
      </c>
      <c r="F11" s="10" t="s">
        <v>12</v>
      </c>
      <c r="G11" s="8" t="s">
        <v>32</v>
      </c>
    </row>
    <row r="12">
      <c r="A12" s="7">
        <v>2.0</v>
      </c>
      <c r="B12" s="8" t="s">
        <v>9</v>
      </c>
      <c r="C12" s="8" t="s">
        <v>33</v>
      </c>
      <c r="D12" s="9" t="s">
        <v>11</v>
      </c>
      <c r="E12" s="7">
        <v>20.0</v>
      </c>
      <c r="F12" s="10" t="s">
        <v>12</v>
      </c>
      <c r="G12" s="8" t="s">
        <v>19</v>
      </c>
    </row>
    <row r="13">
      <c r="A13" s="7">
        <v>2.0</v>
      </c>
      <c r="B13" s="8" t="s">
        <v>9</v>
      </c>
      <c r="C13" s="8" t="s">
        <v>34</v>
      </c>
      <c r="D13" s="9" t="s">
        <v>11</v>
      </c>
      <c r="E13" s="7">
        <v>6.0</v>
      </c>
      <c r="F13" s="10" t="s">
        <v>12</v>
      </c>
      <c r="G13" s="8" t="s">
        <v>35</v>
      </c>
    </row>
    <row r="14">
      <c r="A14" s="7">
        <v>2.0</v>
      </c>
      <c r="B14" s="8" t="s">
        <v>9</v>
      </c>
      <c r="C14" s="8" t="s">
        <v>36</v>
      </c>
      <c r="D14" s="9" t="s">
        <v>11</v>
      </c>
      <c r="E14" s="7">
        <v>2.0</v>
      </c>
      <c r="F14" s="10" t="s">
        <v>12</v>
      </c>
      <c r="G14" s="8" t="s">
        <v>35</v>
      </c>
    </row>
    <row r="15">
      <c r="A15" s="7">
        <v>3.0</v>
      </c>
      <c r="B15" s="8" t="s">
        <v>37</v>
      </c>
      <c r="C15" s="8" t="s">
        <v>38</v>
      </c>
      <c r="D15" s="9" t="s">
        <v>11</v>
      </c>
      <c r="E15" s="7">
        <v>5.0</v>
      </c>
      <c r="F15" s="10" t="s">
        <v>12</v>
      </c>
      <c r="G15" s="8" t="s">
        <v>16</v>
      </c>
    </row>
    <row r="16">
      <c r="A16" s="7">
        <v>2.0</v>
      </c>
      <c r="B16" s="8" t="s">
        <v>9</v>
      </c>
      <c r="C16" s="8" t="s">
        <v>39</v>
      </c>
      <c r="D16" s="12" t="s">
        <v>24</v>
      </c>
      <c r="E16" s="7">
        <v>6.0</v>
      </c>
      <c r="F16" s="10" t="s">
        <v>12</v>
      </c>
      <c r="G16" s="8" t="s">
        <v>40</v>
      </c>
    </row>
    <row r="17">
      <c r="A17" s="7">
        <v>3.0</v>
      </c>
      <c r="B17" s="8" t="s">
        <v>41</v>
      </c>
      <c r="C17" s="8" t="s">
        <v>42</v>
      </c>
      <c r="D17" s="9" t="s">
        <v>11</v>
      </c>
      <c r="E17" s="7">
        <v>1.0</v>
      </c>
      <c r="F17" s="10" t="s">
        <v>12</v>
      </c>
      <c r="G17" s="8" t="s">
        <v>16</v>
      </c>
    </row>
    <row r="18">
      <c r="A18" s="7">
        <v>2.0</v>
      </c>
      <c r="B18" s="8" t="s">
        <v>43</v>
      </c>
      <c r="C18" s="13" t="s">
        <v>44</v>
      </c>
      <c r="D18" s="14" t="s">
        <v>45</v>
      </c>
      <c r="E18" s="7">
        <v>3.0</v>
      </c>
      <c r="F18" s="10" t="s">
        <v>12</v>
      </c>
      <c r="G18" s="8" t="s">
        <v>46</v>
      </c>
    </row>
    <row r="19">
      <c r="A19" s="7">
        <v>2.0</v>
      </c>
      <c r="B19" s="8" t="s">
        <v>43</v>
      </c>
      <c r="C19" s="13" t="s">
        <v>47</v>
      </c>
      <c r="D19" s="14" t="s">
        <v>48</v>
      </c>
      <c r="E19" s="7">
        <v>4.0</v>
      </c>
      <c r="F19" s="10" t="s">
        <v>12</v>
      </c>
      <c r="G19" s="8" t="s">
        <v>46</v>
      </c>
    </row>
    <row r="20">
      <c r="A20" s="7">
        <v>2.0</v>
      </c>
      <c r="B20" s="8" t="s">
        <v>43</v>
      </c>
      <c r="C20" s="13" t="s">
        <v>49</v>
      </c>
      <c r="D20" s="14" t="s">
        <v>50</v>
      </c>
      <c r="E20" s="7">
        <v>3.0</v>
      </c>
      <c r="F20" s="10" t="s">
        <v>12</v>
      </c>
      <c r="G20" s="8" t="s">
        <v>46</v>
      </c>
    </row>
    <row r="21">
      <c r="A21" s="7">
        <v>2.0</v>
      </c>
      <c r="B21" s="8" t="s">
        <v>43</v>
      </c>
      <c r="C21" s="13" t="s">
        <v>51</v>
      </c>
      <c r="D21" s="14" t="s">
        <v>45</v>
      </c>
      <c r="E21" s="7">
        <v>5.0</v>
      </c>
      <c r="F21" s="10" t="s">
        <v>12</v>
      </c>
      <c r="G21" s="8" t="s">
        <v>46</v>
      </c>
    </row>
    <row r="22">
      <c r="A22" s="7">
        <v>2.0</v>
      </c>
      <c r="B22" s="8" t="s">
        <v>43</v>
      </c>
      <c r="C22" s="13" t="s">
        <v>52</v>
      </c>
      <c r="D22" s="14" t="s">
        <v>48</v>
      </c>
      <c r="E22" s="7">
        <v>4.0</v>
      </c>
      <c r="F22" s="10" t="s">
        <v>12</v>
      </c>
      <c r="G22" s="8" t="s">
        <v>46</v>
      </c>
    </row>
    <row r="23">
      <c r="A23" s="7">
        <v>2.0</v>
      </c>
      <c r="B23" s="8" t="s">
        <v>43</v>
      </c>
      <c r="C23" s="13" t="s">
        <v>53</v>
      </c>
      <c r="D23" s="14" t="s">
        <v>50</v>
      </c>
      <c r="E23" s="7">
        <v>3.0</v>
      </c>
      <c r="F23" s="10" t="s">
        <v>12</v>
      </c>
      <c r="G23" s="13" t="s">
        <v>54</v>
      </c>
    </row>
    <row r="24">
      <c r="A24" s="7">
        <v>2.0</v>
      </c>
      <c r="B24" s="8" t="s">
        <v>43</v>
      </c>
      <c r="C24" s="13" t="s">
        <v>55</v>
      </c>
      <c r="D24" s="14" t="s">
        <v>45</v>
      </c>
      <c r="E24" s="7">
        <v>4.0</v>
      </c>
      <c r="F24" s="10" t="s">
        <v>12</v>
      </c>
      <c r="G24" s="13" t="s">
        <v>54</v>
      </c>
    </row>
    <row r="25">
      <c r="A25" s="7">
        <v>2.0</v>
      </c>
      <c r="B25" s="8" t="s">
        <v>43</v>
      </c>
      <c r="C25" s="13" t="s">
        <v>56</v>
      </c>
      <c r="D25" s="14" t="s">
        <v>48</v>
      </c>
      <c r="E25" s="7">
        <v>2.0</v>
      </c>
      <c r="F25" s="10" t="s">
        <v>12</v>
      </c>
      <c r="G25" s="13" t="s">
        <v>54</v>
      </c>
    </row>
    <row r="26">
      <c r="A26" s="15">
        <v>2.0</v>
      </c>
      <c r="B26" s="16" t="s">
        <v>9</v>
      </c>
      <c r="C26" s="16" t="s">
        <v>57</v>
      </c>
      <c r="D26" s="17" t="s">
        <v>24</v>
      </c>
      <c r="E26" s="15">
        <v>1.0</v>
      </c>
      <c r="F26" s="18" t="s">
        <v>12</v>
      </c>
      <c r="G26" s="16" t="s">
        <v>58</v>
      </c>
    </row>
    <row r="27">
      <c r="A27" s="19"/>
      <c r="B27" s="20"/>
      <c r="C27" s="20"/>
      <c r="D27" s="21"/>
      <c r="E27" s="19"/>
      <c r="F27" s="22"/>
      <c r="G27" s="20"/>
    </row>
    <row r="28">
      <c r="A28" s="23"/>
      <c r="B28" s="6"/>
      <c r="C28" s="6"/>
      <c r="D28" s="24"/>
      <c r="E28" s="23"/>
      <c r="F28" s="25"/>
      <c r="G28" s="6"/>
    </row>
    <row r="29">
      <c r="A29" s="23"/>
      <c r="B29" s="6"/>
      <c r="C29" s="6"/>
      <c r="D29" s="26"/>
      <c r="E29" s="23"/>
      <c r="F29" s="25"/>
      <c r="G29" s="6"/>
    </row>
    <row r="30">
      <c r="A30" s="23"/>
      <c r="B30" s="6"/>
      <c r="C30" s="6"/>
      <c r="D30" s="24"/>
      <c r="E30" s="23"/>
      <c r="F30" s="25"/>
      <c r="G30" s="6"/>
    </row>
    <row r="31">
      <c r="A31" s="23"/>
      <c r="B31" s="6"/>
      <c r="C31" s="6"/>
      <c r="D31" s="24"/>
      <c r="E31" s="23"/>
      <c r="F31" s="25"/>
      <c r="G31" s="6"/>
    </row>
    <row r="32">
      <c r="A32" s="23"/>
      <c r="B32" s="6"/>
      <c r="C32" s="6"/>
      <c r="D32" s="24"/>
      <c r="E32" s="23"/>
      <c r="F32" s="25"/>
      <c r="G32" s="6"/>
    </row>
    <row r="33">
      <c r="A33" s="23"/>
      <c r="B33" s="6"/>
      <c r="C33" s="6"/>
      <c r="D33" s="26"/>
      <c r="E33" s="23"/>
      <c r="F33" s="25"/>
      <c r="G33" s="6"/>
    </row>
    <row r="34">
      <c r="A34" s="23"/>
      <c r="B34" s="6"/>
      <c r="C34" s="6"/>
      <c r="D34" s="26"/>
      <c r="E34" s="23"/>
      <c r="F34" s="25"/>
      <c r="G34" s="6"/>
    </row>
    <row r="35">
      <c r="A35" s="23"/>
      <c r="B35" s="6"/>
      <c r="C35" s="6"/>
      <c r="D35" s="26"/>
      <c r="E35" s="23"/>
      <c r="F35" s="25"/>
      <c r="G35" s="6"/>
    </row>
    <row r="36">
      <c r="A36" s="23"/>
      <c r="B36" s="6"/>
      <c r="C36" s="6"/>
      <c r="D36" s="24"/>
      <c r="E36" s="23"/>
      <c r="F36" s="25"/>
      <c r="G36" s="6"/>
    </row>
    <row r="37">
      <c r="A37" s="23"/>
      <c r="B37" s="6"/>
      <c r="C37" s="6"/>
      <c r="D37" s="24"/>
      <c r="E37" s="23"/>
      <c r="F37" s="25"/>
      <c r="G37" s="6"/>
    </row>
    <row r="38">
      <c r="A38" s="23"/>
      <c r="B38" s="6"/>
      <c r="C38" s="6"/>
      <c r="D38" s="24"/>
      <c r="E38" s="23"/>
      <c r="F38" s="25"/>
      <c r="G38" s="6"/>
    </row>
    <row r="39">
      <c r="A39" s="23"/>
      <c r="B39" s="6"/>
      <c r="C39" s="6"/>
      <c r="D39" s="24"/>
      <c r="E39" s="23"/>
      <c r="F39" s="25"/>
      <c r="G39" s="6"/>
    </row>
    <row r="40">
      <c r="A40" s="23"/>
      <c r="B40" s="6"/>
      <c r="C40" s="6"/>
      <c r="D40" s="24"/>
      <c r="E40" s="23"/>
      <c r="F40" s="25"/>
      <c r="G40" s="6"/>
    </row>
    <row r="41">
      <c r="A41" s="23"/>
      <c r="B41" s="6"/>
      <c r="C41" s="6"/>
      <c r="D41" s="26"/>
      <c r="E41" s="23"/>
      <c r="F41" s="25"/>
      <c r="G41" s="6"/>
    </row>
    <row r="42">
      <c r="A42" s="23"/>
      <c r="B42" s="6"/>
      <c r="C42" s="6"/>
      <c r="D42" s="26"/>
      <c r="E42" s="23"/>
      <c r="F42" s="25"/>
      <c r="G42" s="6"/>
    </row>
    <row r="43">
      <c r="A43" s="23"/>
      <c r="B43" s="6"/>
      <c r="C43" s="6"/>
      <c r="D43" s="26"/>
      <c r="E43" s="23"/>
      <c r="F43" s="25"/>
      <c r="G43" s="6"/>
    </row>
    <row r="44">
      <c r="A44" s="23"/>
      <c r="B44" s="6"/>
      <c r="C44" s="6"/>
      <c r="D44" s="26"/>
      <c r="E44" s="23"/>
      <c r="F44" s="25"/>
      <c r="G44" s="6"/>
    </row>
    <row r="45">
      <c r="A45" s="23"/>
      <c r="B45" s="6"/>
      <c r="C45" s="6"/>
      <c r="D45" s="24"/>
      <c r="E45" s="23"/>
      <c r="F45" s="25"/>
      <c r="G45" s="6"/>
    </row>
    <row r="46">
      <c r="A46" s="23"/>
      <c r="B46" s="6"/>
      <c r="C46" s="6"/>
      <c r="D46" s="24"/>
      <c r="E46" s="23"/>
      <c r="F46" s="25"/>
      <c r="G46" s="6"/>
    </row>
    <row r="47">
      <c r="A47" s="23"/>
      <c r="B47" s="6"/>
      <c r="C47" s="6"/>
      <c r="D47" s="24"/>
      <c r="E47" s="23"/>
      <c r="F47" s="25"/>
      <c r="G47" s="6"/>
    </row>
    <row r="48">
      <c r="A48" s="23"/>
      <c r="B48" s="6"/>
      <c r="C48" s="6"/>
      <c r="D48" s="6"/>
      <c r="E48" s="23"/>
      <c r="F48" s="25"/>
      <c r="G48" s="6"/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9.5"/>
    <col customWidth="1" min="3" max="3" width="115.63"/>
    <col customWidth="1" min="4" max="4" width="21.38"/>
    <col customWidth="1" min="5" max="5" width="9.5"/>
    <col customWidth="1" min="7" max="7" width="30.63"/>
  </cols>
  <sheetData>
    <row r="1">
      <c r="A1" s="1" t="s">
        <v>0</v>
      </c>
      <c r="B1" s="2"/>
      <c r="C1" s="2"/>
      <c r="D1" s="2"/>
      <c r="E1" s="2"/>
      <c r="F1" s="2"/>
      <c r="G1" s="3"/>
      <c r="H1" s="27" t="s">
        <v>59</v>
      </c>
      <c r="I1" s="2"/>
      <c r="J1" s="3"/>
    </row>
    <row r="2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9" t="s">
        <v>7</v>
      </c>
      <c r="H2" s="30" t="s">
        <v>60</v>
      </c>
      <c r="I2" s="30" t="s">
        <v>61</v>
      </c>
      <c r="J2" s="30" t="s">
        <v>62</v>
      </c>
    </row>
    <row r="3">
      <c r="A3" s="7">
        <v>2.0</v>
      </c>
      <c r="B3" s="8" t="s">
        <v>9</v>
      </c>
      <c r="C3" s="8" t="s">
        <v>10</v>
      </c>
      <c r="D3" s="9" t="s">
        <v>11</v>
      </c>
      <c r="E3" s="7">
        <v>4.0</v>
      </c>
      <c r="F3" s="31" t="s">
        <v>63</v>
      </c>
      <c r="G3" s="8" t="s">
        <v>13</v>
      </c>
      <c r="H3" s="32">
        <v>45952.0</v>
      </c>
      <c r="I3" s="32">
        <v>45952.0</v>
      </c>
      <c r="J3" s="7">
        <v>4.0</v>
      </c>
    </row>
    <row r="4">
      <c r="A4" s="7">
        <v>3.0</v>
      </c>
      <c r="B4" s="8" t="s">
        <v>9</v>
      </c>
      <c r="C4" s="8" t="s">
        <v>15</v>
      </c>
      <c r="D4" s="9" t="s">
        <v>11</v>
      </c>
      <c r="E4" s="7">
        <v>10.0</v>
      </c>
      <c r="F4" s="31" t="s">
        <v>63</v>
      </c>
      <c r="G4" s="8" t="s">
        <v>16</v>
      </c>
      <c r="H4" s="32">
        <v>45947.0</v>
      </c>
      <c r="I4" s="32">
        <v>45947.0</v>
      </c>
      <c r="J4" s="7">
        <v>8.0</v>
      </c>
    </row>
    <row r="5">
      <c r="A5" s="7">
        <v>3.0</v>
      </c>
      <c r="B5" s="8" t="s">
        <v>9</v>
      </c>
      <c r="C5" s="8" t="s">
        <v>18</v>
      </c>
      <c r="D5" s="9" t="s">
        <v>11</v>
      </c>
      <c r="E5" s="7">
        <v>4.0</v>
      </c>
      <c r="F5" s="31" t="s">
        <v>63</v>
      </c>
      <c r="G5" s="8" t="s">
        <v>19</v>
      </c>
      <c r="H5" s="32">
        <v>45945.0</v>
      </c>
      <c r="I5" s="32">
        <v>45945.0</v>
      </c>
      <c r="J5" s="7">
        <v>2.0</v>
      </c>
    </row>
    <row r="6">
      <c r="A6" s="7">
        <v>1.0</v>
      </c>
      <c r="B6" s="8" t="s">
        <v>9</v>
      </c>
      <c r="C6" s="8" t="s">
        <v>21</v>
      </c>
      <c r="D6" s="9" t="s">
        <v>11</v>
      </c>
      <c r="E6" s="7">
        <v>1.0</v>
      </c>
      <c r="F6" s="31" t="s">
        <v>63</v>
      </c>
      <c r="G6" s="8" t="s">
        <v>22</v>
      </c>
      <c r="H6" s="32">
        <v>45945.0</v>
      </c>
      <c r="I6" s="32">
        <v>45945.0</v>
      </c>
      <c r="J6" s="8">
        <v>1.0</v>
      </c>
    </row>
    <row r="7">
      <c r="A7" s="7">
        <v>2.0</v>
      </c>
      <c r="B7" s="8" t="s">
        <v>9</v>
      </c>
      <c r="C7" s="8" t="s">
        <v>23</v>
      </c>
      <c r="D7" s="12" t="s">
        <v>24</v>
      </c>
      <c r="E7" s="7">
        <v>3.0</v>
      </c>
      <c r="F7" s="31" t="s">
        <v>63</v>
      </c>
      <c r="G7" s="8" t="s">
        <v>25</v>
      </c>
      <c r="H7" s="33">
        <v>45951.0</v>
      </c>
      <c r="I7" s="33">
        <v>45951.0</v>
      </c>
      <c r="J7" s="7">
        <v>3.0</v>
      </c>
    </row>
    <row r="8">
      <c r="A8" s="7">
        <v>2.0</v>
      </c>
      <c r="B8" s="8" t="s">
        <v>9</v>
      </c>
      <c r="C8" s="8" t="s">
        <v>26</v>
      </c>
      <c r="D8" s="12" t="s">
        <v>24</v>
      </c>
      <c r="E8" s="7">
        <v>3.0</v>
      </c>
      <c r="F8" s="31" t="s">
        <v>63</v>
      </c>
      <c r="G8" s="8" t="s">
        <v>27</v>
      </c>
      <c r="H8" s="33">
        <v>45951.0</v>
      </c>
      <c r="I8" s="33">
        <v>45951.0</v>
      </c>
      <c r="J8" s="8">
        <v>3.0</v>
      </c>
    </row>
    <row r="9">
      <c r="A9" s="7">
        <v>1.0</v>
      </c>
      <c r="B9" s="8" t="s">
        <v>9</v>
      </c>
      <c r="C9" s="8" t="s">
        <v>28</v>
      </c>
      <c r="D9" s="9" t="s">
        <v>11</v>
      </c>
      <c r="E9" s="7">
        <v>1.0</v>
      </c>
      <c r="F9" s="31" t="s">
        <v>63</v>
      </c>
      <c r="G9" s="8" t="s">
        <v>29</v>
      </c>
      <c r="H9" s="32">
        <v>45945.0</v>
      </c>
      <c r="I9" s="32">
        <v>45945.0</v>
      </c>
      <c r="J9" s="8">
        <v>1.0</v>
      </c>
    </row>
    <row r="10">
      <c r="A10" s="7">
        <v>3.0</v>
      </c>
      <c r="B10" s="8" t="s">
        <v>9</v>
      </c>
      <c r="C10" s="8" t="s">
        <v>30</v>
      </c>
      <c r="D10" s="9" t="s">
        <v>11</v>
      </c>
      <c r="E10" s="7">
        <v>3.0</v>
      </c>
      <c r="F10" s="31" t="s">
        <v>63</v>
      </c>
      <c r="G10" s="8" t="s">
        <v>16</v>
      </c>
      <c r="H10" s="33">
        <v>45947.0</v>
      </c>
      <c r="I10" s="7" t="s">
        <v>64</v>
      </c>
      <c r="J10" s="7">
        <v>3.0</v>
      </c>
    </row>
    <row r="11">
      <c r="A11" s="7">
        <v>2.0</v>
      </c>
      <c r="B11" s="8" t="s">
        <v>9</v>
      </c>
      <c r="C11" s="8" t="s">
        <v>31</v>
      </c>
      <c r="D11" s="9" t="s">
        <v>11</v>
      </c>
      <c r="E11" s="7">
        <v>20.0</v>
      </c>
      <c r="F11" s="31" t="s">
        <v>63</v>
      </c>
      <c r="G11" s="8" t="s">
        <v>32</v>
      </c>
      <c r="H11" s="32">
        <v>45948.0</v>
      </c>
      <c r="I11" s="32">
        <v>45950.0</v>
      </c>
      <c r="J11" s="7">
        <v>17.0</v>
      </c>
    </row>
    <row r="12">
      <c r="A12" s="7">
        <v>2.0</v>
      </c>
      <c r="B12" s="8" t="s">
        <v>9</v>
      </c>
      <c r="C12" s="8" t="s">
        <v>33</v>
      </c>
      <c r="D12" s="9" t="s">
        <v>11</v>
      </c>
      <c r="E12" s="7">
        <v>3.0</v>
      </c>
      <c r="F12" s="31" t="s">
        <v>63</v>
      </c>
      <c r="G12" s="8" t="s">
        <v>19</v>
      </c>
      <c r="H12" s="32">
        <v>45947.0</v>
      </c>
      <c r="I12" s="32">
        <v>45947.0</v>
      </c>
      <c r="J12" s="7">
        <v>3.0</v>
      </c>
    </row>
    <row r="13">
      <c r="A13" s="7">
        <v>2.0</v>
      </c>
      <c r="B13" s="8" t="s">
        <v>9</v>
      </c>
      <c r="C13" s="8" t="s">
        <v>34</v>
      </c>
      <c r="D13" s="9" t="s">
        <v>11</v>
      </c>
      <c r="E13" s="7">
        <v>6.0</v>
      </c>
      <c r="F13" s="31" t="s">
        <v>63</v>
      </c>
      <c r="G13" s="8" t="s">
        <v>35</v>
      </c>
      <c r="H13" s="32">
        <v>45950.0</v>
      </c>
      <c r="I13" s="32">
        <v>45950.0</v>
      </c>
      <c r="J13" s="8">
        <v>6.0</v>
      </c>
    </row>
    <row r="14">
      <c r="A14" s="7">
        <v>2.0</v>
      </c>
      <c r="B14" s="8" t="s">
        <v>9</v>
      </c>
      <c r="C14" s="8" t="s">
        <v>36</v>
      </c>
      <c r="D14" s="9" t="s">
        <v>11</v>
      </c>
      <c r="E14" s="7">
        <v>2.0</v>
      </c>
      <c r="F14" s="31" t="s">
        <v>63</v>
      </c>
      <c r="G14" s="8" t="s">
        <v>35</v>
      </c>
      <c r="H14" s="32">
        <v>45951.0</v>
      </c>
      <c r="I14" s="32">
        <v>45951.0</v>
      </c>
      <c r="J14" s="7">
        <v>2.0</v>
      </c>
    </row>
    <row r="15">
      <c r="A15" s="7">
        <v>3.0</v>
      </c>
      <c r="B15" s="8" t="s">
        <v>37</v>
      </c>
      <c r="C15" s="8" t="s">
        <v>38</v>
      </c>
      <c r="D15" s="9" t="s">
        <v>11</v>
      </c>
      <c r="E15" s="7">
        <v>5.0</v>
      </c>
      <c r="F15" s="31" t="s">
        <v>63</v>
      </c>
      <c r="G15" s="8" t="s">
        <v>16</v>
      </c>
      <c r="H15" s="32">
        <v>45949.0</v>
      </c>
      <c r="I15" s="32">
        <v>45949.0</v>
      </c>
      <c r="J15" s="7">
        <v>5.0</v>
      </c>
    </row>
    <row r="16">
      <c r="A16" s="7">
        <v>2.0</v>
      </c>
      <c r="B16" s="8" t="s">
        <v>9</v>
      </c>
      <c r="C16" s="8" t="s">
        <v>39</v>
      </c>
      <c r="D16" s="12" t="s">
        <v>24</v>
      </c>
      <c r="E16" s="7">
        <v>6.0</v>
      </c>
      <c r="F16" s="31" t="s">
        <v>63</v>
      </c>
      <c r="G16" s="8" t="s">
        <v>40</v>
      </c>
      <c r="H16" s="32">
        <v>45949.0</v>
      </c>
      <c r="I16" s="32">
        <v>45951.0</v>
      </c>
      <c r="J16" s="7">
        <v>5.0</v>
      </c>
    </row>
    <row r="17">
      <c r="A17" s="7">
        <v>3.0</v>
      </c>
      <c r="B17" s="8" t="s">
        <v>41</v>
      </c>
      <c r="C17" s="8" t="s">
        <v>42</v>
      </c>
      <c r="D17" s="9" t="s">
        <v>11</v>
      </c>
      <c r="E17" s="7">
        <v>1.0</v>
      </c>
      <c r="F17" s="31" t="s">
        <v>63</v>
      </c>
      <c r="G17" s="8" t="s">
        <v>16</v>
      </c>
      <c r="H17" s="32">
        <v>45947.0</v>
      </c>
      <c r="I17" s="32">
        <v>45947.0</v>
      </c>
      <c r="J17" s="7">
        <v>1.0</v>
      </c>
    </row>
    <row r="18">
      <c r="A18" s="7">
        <v>2.0</v>
      </c>
      <c r="B18" s="8" t="s">
        <v>43</v>
      </c>
      <c r="C18" s="13" t="s">
        <v>44</v>
      </c>
      <c r="D18" s="14" t="s">
        <v>45</v>
      </c>
      <c r="E18" s="7">
        <v>3.0</v>
      </c>
      <c r="F18" s="31" t="s">
        <v>63</v>
      </c>
      <c r="G18" s="8" t="s">
        <v>46</v>
      </c>
      <c r="H18" s="34">
        <v>45936.0</v>
      </c>
      <c r="I18" s="34">
        <v>45938.0</v>
      </c>
      <c r="J18" s="7">
        <v>3.0</v>
      </c>
    </row>
    <row r="19">
      <c r="A19" s="7">
        <v>2.0</v>
      </c>
      <c r="B19" s="8" t="s">
        <v>43</v>
      </c>
      <c r="C19" s="13" t="s">
        <v>47</v>
      </c>
      <c r="D19" s="14" t="s">
        <v>48</v>
      </c>
      <c r="E19" s="7">
        <v>4.0</v>
      </c>
      <c r="F19" s="31" t="s">
        <v>63</v>
      </c>
      <c r="G19" s="8" t="s">
        <v>46</v>
      </c>
      <c r="H19" s="34">
        <v>45937.0</v>
      </c>
      <c r="I19" s="34">
        <v>45937.0</v>
      </c>
      <c r="J19" s="8">
        <v>4.0</v>
      </c>
    </row>
    <row r="20">
      <c r="A20" s="7">
        <v>2.0</v>
      </c>
      <c r="B20" s="8" t="s">
        <v>43</v>
      </c>
      <c r="C20" s="13" t="s">
        <v>49</v>
      </c>
      <c r="D20" s="14" t="s">
        <v>50</v>
      </c>
      <c r="E20" s="7">
        <v>3.0</v>
      </c>
      <c r="F20" s="31" t="s">
        <v>63</v>
      </c>
      <c r="G20" s="8" t="s">
        <v>46</v>
      </c>
      <c r="H20" s="34">
        <v>45940.0</v>
      </c>
      <c r="I20" s="34">
        <v>45940.0</v>
      </c>
      <c r="J20" s="8">
        <v>3.0</v>
      </c>
    </row>
    <row r="21">
      <c r="A21" s="7">
        <v>2.0</v>
      </c>
      <c r="B21" s="8" t="s">
        <v>43</v>
      </c>
      <c r="C21" s="13" t="s">
        <v>51</v>
      </c>
      <c r="D21" s="14" t="s">
        <v>45</v>
      </c>
      <c r="E21" s="7">
        <v>9.0</v>
      </c>
      <c r="F21" s="31" t="s">
        <v>63</v>
      </c>
      <c r="G21" s="8" t="s">
        <v>46</v>
      </c>
      <c r="H21" s="34">
        <v>45938.0</v>
      </c>
      <c r="I21" s="34">
        <v>45939.0</v>
      </c>
      <c r="J21" s="8">
        <v>7.0</v>
      </c>
    </row>
    <row r="22">
      <c r="A22" s="7">
        <v>2.0</v>
      </c>
      <c r="B22" s="8" t="s">
        <v>43</v>
      </c>
      <c r="C22" s="13" t="s">
        <v>52</v>
      </c>
      <c r="D22" s="14" t="s">
        <v>48</v>
      </c>
      <c r="E22" s="7">
        <v>4.0</v>
      </c>
      <c r="F22" s="31" t="s">
        <v>63</v>
      </c>
      <c r="G22" s="8" t="s">
        <v>46</v>
      </c>
      <c r="H22" s="34">
        <v>45940.0</v>
      </c>
      <c r="I22" s="34">
        <v>45940.0</v>
      </c>
      <c r="J22" s="8">
        <v>4.0</v>
      </c>
    </row>
    <row r="23">
      <c r="A23" s="7">
        <v>2.0</v>
      </c>
      <c r="B23" s="8" t="s">
        <v>43</v>
      </c>
      <c r="C23" s="13" t="s">
        <v>53</v>
      </c>
      <c r="D23" s="14" t="s">
        <v>50</v>
      </c>
      <c r="E23" s="7">
        <v>3.0</v>
      </c>
      <c r="F23" s="31" t="s">
        <v>63</v>
      </c>
      <c r="G23" s="13" t="s">
        <v>54</v>
      </c>
      <c r="H23" s="34">
        <v>45943.0</v>
      </c>
      <c r="I23" s="34">
        <v>45943.0</v>
      </c>
      <c r="J23" s="8">
        <v>3.0</v>
      </c>
    </row>
    <row r="24">
      <c r="A24" s="7">
        <v>2.0</v>
      </c>
      <c r="B24" s="8" t="s">
        <v>43</v>
      </c>
      <c r="C24" s="13" t="s">
        <v>55</v>
      </c>
      <c r="D24" s="14" t="s">
        <v>45</v>
      </c>
      <c r="E24" s="7">
        <v>4.0</v>
      </c>
      <c r="F24" s="31" t="s">
        <v>63</v>
      </c>
      <c r="G24" s="13" t="s">
        <v>54</v>
      </c>
      <c r="H24" s="34">
        <v>45943.0</v>
      </c>
      <c r="I24" s="34">
        <v>45944.0</v>
      </c>
      <c r="J24" s="8">
        <v>4.0</v>
      </c>
    </row>
    <row r="25">
      <c r="A25" s="7">
        <v>2.0</v>
      </c>
      <c r="B25" s="8" t="s">
        <v>43</v>
      </c>
      <c r="C25" s="13" t="s">
        <v>56</v>
      </c>
      <c r="D25" s="14" t="s">
        <v>48</v>
      </c>
      <c r="E25" s="7">
        <v>2.0</v>
      </c>
      <c r="F25" s="31" t="s">
        <v>63</v>
      </c>
      <c r="G25" s="13" t="s">
        <v>54</v>
      </c>
      <c r="H25" s="34">
        <v>45944.0</v>
      </c>
      <c r="I25" s="34">
        <v>45945.0</v>
      </c>
      <c r="J25" s="8">
        <v>2.0</v>
      </c>
    </row>
    <row r="26">
      <c r="A26" s="15">
        <v>2.0</v>
      </c>
      <c r="B26" s="16" t="s">
        <v>9</v>
      </c>
      <c r="C26" s="16" t="s">
        <v>57</v>
      </c>
      <c r="D26" s="17" t="s">
        <v>24</v>
      </c>
      <c r="E26" s="15">
        <v>1.0</v>
      </c>
      <c r="F26" s="35" t="s">
        <v>63</v>
      </c>
      <c r="G26" s="16" t="s">
        <v>58</v>
      </c>
      <c r="H26" s="36">
        <v>45946.0</v>
      </c>
      <c r="I26" s="36">
        <v>45946.0</v>
      </c>
      <c r="J26" s="16">
        <v>1.0</v>
      </c>
    </row>
    <row r="27">
      <c r="A27" s="19"/>
      <c r="B27" s="20"/>
      <c r="C27" s="20"/>
      <c r="D27" s="37"/>
      <c r="E27" s="19"/>
      <c r="F27" s="22"/>
      <c r="G27" s="20"/>
      <c r="H27" s="38"/>
      <c r="I27" s="38"/>
      <c r="J27" s="20"/>
    </row>
    <row r="28">
      <c r="A28" s="23"/>
      <c r="B28" s="6"/>
      <c r="C28" s="6"/>
      <c r="D28" s="24"/>
      <c r="E28" s="23"/>
      <c r="F28" s="39"/>
      <c r="G28" s="6"/>
      <c r="H28" s="40"/>
      <c r="I28" s="40"/>
      <c r="J28" s="23"/>
    </row>
    <row r="29">
      <c r="A29" s="23"/>
      <c r="B29" s="6"/>
      <c r="C29" s="6"/>
      <c r="D29" s="24"/>
      <c r="E29" s="23"/>
      <c r="F29" s="25"/>
      <c r="G29" s="6"/>
      <c r="H29" s="40"/>
      <c r="I29" s="41"/>
      <c r="J29" s="6"/>
    </row>
    <row r="30">
      <c r="A30" s="23"/>
      <c r="B30" s="6"/>
      <c r="C30" s="6"/>
      <c r="D30" s="26"/>
      <c r="E30" s="23"/>
      <c r="F30" s="25"/>
      <c r="G30" s="6"/>
      <c r="H30" s="41"/>
      <c r="I30" s="41"/>
      <c r="J30" s="6"/>
    </row>
    <row r="31">
      <c r="A31" s="23"/>
      <c r="B31" s="6"/>
      <c r="C31" s="6"/>
      <c r="D31" s="24"/>
      <c r="E31" s="23"/>
      <c r="F31" s="39"/>
      <c r="G31" s="6"/>
      <c r="H31" s="40"/>
      <c r="I31" s="40"/>
      <c r="J31" s="23"/>
    </row>
    <row r="32">
      <c r="A32" s="23"/>
      <c r="B32" s="6"/>
      <c r="C32" s="6"/>
      <c r="D32" s="24"/>
      <c r="E32" s="23"/>
      <c r="F32" s="39"/>
      <c r="G32" s="6"/>
      <c r="H32" s="40"/>
      <c r="I32" s="40"/>
      <c r="J32" s="23"/>
    </row>
    <row r="33">
      <c r="A33" s="23"/>
      <c r="B33" s="6"/>
      <c r="C33" s="6"/>
      <c r="D33" s="24"/>
      <c r="E33" s="23"/>
      <c r="F33" s="39"/>
      <c r="G33" s="6"/>
      <c r="H33" s="40"/>
      <c r="I33" s="40"/>
      <c r="J33" s="23"/>
    </row>
    <row r="34">
      <c r="A34" s="23"/>
      <c r="B34" s="6"/>
      <c r="C34" s="6"/>
      <c r="D34" s="24"/>
      <c r="E34" s="23"/>
      <c r="F34" s="39"/>
      <c r="G34" s="6"/>
      <c r="H34" s="40"/>
      <c r="I34" s="40"/>
      <c r="J34" s="23"/>
    </row>
    <row r="35">
      <c r="A35" s="23"/>
      <c r="B35" s="6"/>
      <c r="C35" s="6"/>
      <c r="D35" s="26"/>
      <c r="E35" s="23"/>
      <c r="F35" s="25"/>
      <c r="G35" s="6"/>
      <c r="H35" s="41"/>
      <c r="I35" s="41"/>
      <c r="J35" s="6"/>
    </row>
    <row r="36">
      <c r="A36" s="23"/>
      <c r="B36" s="6"/>
      <c r="C36" s="6"/>
      <c r="D36" s="24"/>
      <c r="E36" s="23"/>
      <c r="F36" s="39"/>
      <c r="G36" s="6"/>
      <c r="H36" s="40"/>
      <c r="I36" s="40"/>
      <c r="J36" s="6"/>
    </row>
    <row r="37">
      <c r="A37" s="23"/>
      <c r="B37" s="6"/>
      <c r="C37" s="6"/>
      <c r="D37" s="24"/>
      <c r="E37" s="23"/>
      <c r="F37" s="39"/>
      <c r="G37" s="6"/>
      <c r="H37" s="40"/>
      <c r="I37" s="40"/>
      <c r="J37" s="23"/>
    </row>
    <row r="38">
      <c r="A38" s="23"/>
      <c r="B38" s="6"/>
      <c r="C38" s="6"/>
      <c r="D38" s="24"/>
      <c r="E38" s="23"/>
      <c r="F38" s="39"/>
      <c r="G38" s="6"/>
      <c r="H38" s="40"/>
      <c r="I38" s="40"/>
      <c r="J38" s="6"/>
    </row>
    <row r="39">
      <c r="A39" s="23"/>
      <c r="B39" s="6"/>
      <c r="C39" s="6"/>
      <c r="D39" s="24"/>
      <c r="E39" s="23"/>
      <c r="F39" s="25"/>
      <c r="G39" s="6"/>
      <c r="H39" s="41"/>
      <c r="I39" s="41"/>
      <c r="J39" s="6"/>
    </row>
    <row r="40">
      <c r="A40" s="23"/>
      <c r="B40" s="6"/>
      <c r="C40" s="6"/>
      <c r="D40" s="24"/>
      <c r="E40" s="23"/>
      <c r="F40" s="25"/>
      <c r="G40" s="6"/>
      <c r="H40" s="40"/>
      <c r="I40" s="41"/>
      <c r="J40" s="6"/>
    </row>
    <row r="41">
      <c r="A41" s="23"/>
      <c r="B41" s="6"/>
      <c r="C41" s="6"/>
      <c r="D41" s="24"/>
      <c r="E41" s="23"/>
      <c r="F41" s="25"/>
      <c r="G41" s="6"/>
      <c r="H41" s="40"/>
      <c r="I41" s="41"/>
      <c r="J41" s="6"/>
    </row>
    <row r="42">
      <c r="A42" s="23"/>
      <c r="B42" s="6"/>
      <c r="C42" s="6"/>
      <c r="D42" s="26"/>
      <c r="E42" s="23"/>
      <c r="F42" s="25"/>
      <c r="G42" s="6"/>
      <c r="H42" s="40"/>
      <c r="I42" s="41"/>
      <c r="J42" s="6"/>
    </row>
    <row r="43">
      <c r="A43" s="23"/>
      <c r="B43" s="6"/>
      <c r="C43" s="6"/>
      <c r="D43" s="26"/>
      <c r="E43" s="23"/>
      <c r="F43" s="39"/>
      <c r="G43" s="6"/>
      <c r="H43" s="40"/>
      <c r="I43" s="40"/>
      <c r="J43" s="23"/>
    </row>
    <row r="44">
      <c r="A44" s="23"/>
      <c r="B44" s="6"/>
      <c r="C44" s="6"/>
      <c r="D44" s="26"/>
      <c r="E44" s="23"/>
      <c r="F44" s="25"/>
      <c r="G44" s="6"/>
      <c r="H44" s="40"/>
      <c r="I44" s="41"/>
      <c r="J44" s="6"/>
    </row>
    <row r="45">
      <c r="A45" s="23"/>
      <c r="B45" s="6"/>
      <c r="C45" s="6"/>
      <c r="D45" s="26"/>
      <c r="E45" s="23"/>
      <c r="F45" s="25"/>
      <c r="G45" s="6"/>
      <c r="H45" s="40"/>
      <c r="I45" s="41"/>
      <c r="J45" s="6"/>
    </row>
    <row r="46">
      <c r="A46" s="23"/>
      <c r="B46" s="6"/>
      <c r="C46" s="6"/>
      <c r="D46" s="24"/>
      <c r="E46" s="23"/>
      <c r="F46" s="25"/>
      <c r="G46" s="6"/>
      <c r="H46" s="40"/>
      <c r="I46" s="41"/>
      <c r="J46" s="6"/>
    </row>
    <row r="47">
      <c r="A47" s="23"/>
      <c r="B47" s="6"/>
      <c r="C47" s="6"/>
      <c r="D47" s="24"/>
      <c r="E47" s="23"/>
      <c r="F47" s="39"/>
      <c r="G47" s="6"/>
      <c r="H47" s="40"/>
      <c r="I47" s="40"/>
      <c r="J47" s="23"/>
    </row>
    <row r="48">
      <c r="A48" s="23"/>
      <c r="B48" s="6"/>
      <c r="C48" s="6"/>
      <c r="D48" s="24"/>
      <c r="E48" s="23"/>
      <c r="F48" s="39"/>
      <c r="G48" s="6"/>
      <c r="H48" s="40"/>
      <c r="I48" s="40"/>
      <c r="J48" s="23"/>
    </row>
    <row r="49">
      <c r="A49" s="23"/>
      <c r="B49" s="6"/>
      <c r="C49" s="6"/>
      <c r="D49" s="6"/>
      <c r="E49" s="23"/>
      <c r="F49" s="39"/>
      <c r="G49" s="6"/>
      <c r="H49" s="40"/>
      <c r="I49" s="40"/>
      <c r="J49" s="23"/>
    </row>
  </sheetData>
  <mergeCells count="2">
    <mergeCell ref="A1:G1"/>
    <mergeCell ref="H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0"/>
  </cols>
  <sheetData>
    <row r="1">
      <c r="C1" s="42">
        <v>45936.0</v>
      </c>
      <c r="D1" s="42">
        <v>45937.0</v>
      </c>
      <c r="E1" s="42">
        <v>45938.0</v>
      </c>
      <c r="F1" s="42">
        <v>45939.0</v>
      </c>
      <c r="G1" s="42">
        <v>45940.0</v>
      </c>
      <c r="H1" s="42">
        <v>45941.0</v>
      </c>
      <c r="I1" s="42">
        <v>45942.0</v>
      </c>
      <c r="J1" s="42">
        <v>45943.0</v>
      </c>
      <c r="K1" s="42">
        <v>45944.0</v>
      </c>
      <c r="L1" s="42">
        <v>45945.0</v>
      </c>
      <c r="M1" s="42">
        <v>45946.0</v>
      </c>
      <c r="N1" s="42">
        <v>45947.0</v>
      </c>
      <c r="O1" s="42">
        <v>45948.0</v>
      </c>
      <c r="P1" s="42">
        <v>45949.0</v>
      </c>
      <c r="Q1" s="42">
        <v>45950.0</v>
      </c>
      <c r="R1" s="42">
        <v>45951.0</v>
      </c>
      <c r="S1" s="42">
        <v>45952.0</v>
      </c>
      <c r="T1" s="42">
        <v>45953.0</v>
      </c>
    </row>
    <row r="2">
      <c r="A2" s="13" t="s">
        <v>3</v>
      </c>
      <c r="B2" s="43" t="s">
        <v>65</v>
      </c>
      <c r="C2" s="13" t="s">
        <v>66</v>
      </c>
      <c r="D2" s="13" t="s">
        <v>67</v>
      </c>
      <c r="E2" s="13" t="s">
        <v>68</v>
      </c>
      <c r="F2" s="13" t="s">
        <v>69</v>
      </c>
      <c r="G2" s="13" t="s">
        <v>70</v>
      </c>
      <c r="H2" s="13" t="s">
        <v>71</v>
      </c>
      <c r="I2" s="13" t="s">
        <v>72</v>
      </c>
      <c r="J2" s="13" t="s">
        <v>73</v>
      </c>
      <c r="K2" s="13" t="s">
        <v>74</v>
      </c>
      <c r="L2" s="13" t="s">
        <v>75</v>
      </c>
      <c r="M2" s="13" t="s">
        <v>76</v>
      </c>
      <c r="N2" s="13" t="s">
        <v>77</v>
      </c>
      <c r="O2" s="13" t="s">
        <v>78</v>
      </c>
      <c r="P2" s="13" t="s">
        <v>79</v>
      </c>
      <c r="Q2" s="13" t="s">
        <v>80</v>
      </c>
      <c r="R2" s="13" t="s">
        <v>81</v>
      </c>
      <c r="S2" s="13" t="s">
        <v>82</v>
      </c>
      <c r="T2" s="13" t="s">
        <v>83</v>
      </c>
    </row>
    <row r="3">
      <c r="A3" s="8" t="s">
        <v>10</v>
      </c>
      <c r="B3" s="44">
        <v>4.0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6">
        <v>4.0</v>
      </c>
      <c r="T3" s="45"/>
    </row>
    <row r="4">
      <c r="A4" s="8" t="s">
        <v>15</v>
      </c>
      <c r="B4" s="44">
        <v>8.0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6">
        <v>8.0</v>
      </c>
      <c r="O4" s="45"/>
      <c r="P4" s="45"/>
      <c r="Q4" s="45"/>
      <c r="R4" s="45"/>
      <c r="S4" s="45"/>
      <c r="T4" s="45"/>
    </row>
    <row r="5">
      <c r="A5" s="8" t="s">
        <v>18</v>
      </c>
      <c r="B5" s="44">
        <v>2.0</v>
      </c>
      <c r="C5" s="45"/>
      <c r="D5" s="45"/>
      <c r="E5" s="45"/>
      <c r="F5" s="45"/>
      <c r="G5" s="45"/>
      <c r="H5" s="45"/>
      <c r="I5" s="45"/>
      <c r="J5" s="45"/>
      <c r="K5" s="45"/>
      <c r="L5" s="46">
        <v>2.0</v>
      </c>
      <c r="M5" s="45"/>
      <c r="N5" s="45"/>
      <c r="O5" s="45"/>
      <c r="P5" s="45"/>
      <c r="Q5" s="45"/>
      <c r="R5" s="45"/>
      <c r="S5" s="45"/>
      <c r="T5" s="45"/>
    </row>
    <row r="6">
      <c r="A6" s="8" t="s">
        <v>21</v>
      </c>
      <c r="B6" s="44">
        <v>1.0</v>
      </c>
      <c r="C6" s="45"/>
      <c r="D6" s="45"/>
      <c r="E6" s="45"/>
      <c r="F6" s="45"/>
      <c r="G6" s="45"/>
      <c r="H6" s="45"/>
      <c r="I6" s="45"/>
      <c r="J6" s="45"/>
      <c r="K6" s="45"/>
      <c r="L6" s="46">
        <v>1.0</v>
      </c>
      <c r="M6" s="45"/>
      <c r="N6" s="45"/>
      <c r="O6" s="45"/>
      <c r="P6" s="45"/>
      <c r="Q6" s="45"/>
      <c r="R6" s="45"/>
      <c r="S6" s="45"/>
      <c r="T6" s="45"/>
    </row>
    <row r="7">
      <c r="A7" s="8" t="s">
        <v>23</v>
      </c>
      <c r="B7" s="44">
        <v>3.0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6">
        <v>3.0</v>
      </c>
      <c r="S7" s="45"/>
      <c r="T7" s="45"/>
    </row>
    <row r="8">
      <c r="A8" s="8" t="s">
        <v>26</v>
      </c>
      <c r="B8" s="44">
        <v>3.0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6">
        <v>3.0</v>
      </c>
      <c r="S8" s="45"/>
      <c r="T8" s="45"/>
    </row>
    <row r="9">
      <c r="A9" s="8" t="s">
        <v>28</v>
      </c>
      <c r="B9" s="44">
        <v>1.0</v>
      </c>
      <c r="C9" s="45"/>
      <c r="D9" s="45"/>
      <c r="E9" s="45"/>
      <c r="F9" s="45"/>
      <c r="G9" s="45"/>
      <c r="H9" s="45"/>
      <c r="I9" s="45"/>
      <c r="J9" s="45"/>
      <c r="K9" s="45"/>
      <c r="L9" s="46">
        <v>1.0</v>
      </c>
      <c r="M9" s="45"/>
      <c r="N9" s="45"/>
      <c r="O9" s="45"/>
      <c r="P9" s="45"/>
      <c r="Q9" s="45"/>
      <c r="R9" s="45"/>
      <c r="S9" s="45"/>
      <c r="T9" s="45"/>
    </row>
    <row r="10">
      <c r="A10" s="8" t="s">
        <v>30</v>
      </c>
      <c r="B10" s="44">
        <v>3.0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>
        <v>3.0</v>
      </c>
      <c r="O10" s="45"/>
      <c r="P10" s="45"/>
      <c r="Q10" s="45"/>
      <c r="R10" s="45"/>
      <c r="S10" s="45"/>
      <c r="T10" s="45"/>
    </row>
    <row r="11">
      <c r="A11" s="8" t="s">
        <v>31</v>
      </c>
      <c r="B11" s="44">
        <v>17.0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6">
        <v>5.3</v>
      </c>
      <c r="P11" s="46">
        <v>5.3</v>
      </c>
      <c r="Q11" s="46">
        <v>5.3</v>
      </c>
      <c r="R11" s="45"/>
      <c r="S11" s="45"/>
      <c r="T11" s="45"/>
    </row>
    <row r="12">
      <c r="A12" s="8" t="s">
        <v>33</v>
      </c>
      <c r="B12" s="44">
        <v>3.0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6">
        <v>3.0</v>
      </c>
      <c r="O12" s="45"/>
      <c r="P12" s="45"/>
      <c r="Q12" s="45"/>
      <c r="R12" s="45"/>
      <c r="S12" s="45"/>
      <c r="T12" s="45"/>
    </row>
    <row r="13">
      <c r="A13" s="8" t="s">
        <v>34</v>
      </c>
      <c r="B13" s="44">
        <v>6.0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6">
        <v>6.0</v>
      </c>
      <c r="R13" s="45"/>
      <c r="S13" s="45"/>
      <c r="T13" s="45"/>
    </row>
    <row r="14">
      <c r="A14" s="8" t="s">
        <v>36</v>
      </c>
      <c r="B14" s="44">
        <v>2.0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6">
        <v>2.0</v>
      </c>
      <c r="S14" s="45"/>
      <c r="T14" s="45"/>
    </row>
    <row r="15">
      <c r="A15" s="8" t="s">
        <v>38</v>
      </c>
      <c r="B15" s="44">
        <v>5.0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6">
        <v>5.0</v>
      </c>
      <c r="Q15" s="45"/>
      <c r="R15" s="45"/>
      <c r="S15" s="45"/>
      <c r="T15" s="45"/>
    </row>
    <row r="16">
      <c r="A16" s="8" t="s">
        <v>39</v>
      </c>
      <c r="B16" s="44">
        <v>5.0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>
        <v>1.6</v>
      </c>
      <c r="Q16" s="46">
        <v>1.6</v>
      </c>
      <c r="R16" s="46">
        <v>2.9</v>
      </c>
      <c r="S16" s="45"/>
      <c r="T16" s="45"/>
    </row>
    <row r="17">
      <c r="A17" s="8" t="s">
        <v>42</v>
      </c>
      <c r="B17" s="44">
        <v>1.0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6">
        <v>1.0</v>
      </c>
      <c r="O17" s="45"/>
      <c r="P17" s="45"/>
      <c r="Q17" s="45"/>
      <c r="R17" s="45"/>
      <c r="S17" s="45"/>
      <c r="T17" s="45"/>
    </row>
    <row r="18">
      <c r="A18" s="13" t="s">
        <v>44</v>
      </c>
      <c r="B18" s="44">
        <v>3.0</v>
      </c>
      <c r="C18" s="46">
        <v>1.0</v>
      </c>
      <c r="D18" s="46">
        <v>1.0</v>
      </c>
      <c r="E18" s="46">
        <v>1.0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</row>
    <row r="19">
      <c r="A19" s="13" t="s">
        <v>47</v>
      </c>
      <c r="B19" s="44">
        <v>4.0</v>
      </c>
      <c r="C19" s="45"/>
      <c r="D19" s="46">
        <v>4.0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r="20">
      <c r="A20" s="13" t="s">
        <v>49</v>
      </c>
      <c r="B20" s="44">
        <v>3.0</v>
      </c>
      <c r="C20" s="45"/>
      <c r="D20" s="45"/>
      <c r="E20" s="45"/>
      <c r="F20" s="45"/>
      <c r="G20" s="46">
        <v>3.0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</row>
    <row r="21">
      <c r="A21" s="13" t="s">
        <v>51</v>
      </c>
      <c r="B21" s="44">
        <v>7.0</v>
      </c>
      <c r="C21" s="45"/>
      <c r="D21" s="45"/>
      <c r="E21" s="46">
        <v>3.5</v>
      </c>
      <c r="F21" s="46">
        <v>3.5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</row>
    <row r="22">
      <c r="A22" s="13" t="s">
        <v>52</v>
      </c>
      <c r="B22" s="44">
        <v>4.0</v>
      </c>
      <c r="C22" s="45"/>
      <c r="D22" s="45"/>
      <c r="E22" s="45"/>
      <c r="F22" s="45"/>
      <c r="G22" s="46">
        <v>4.0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</row>
    <row r="23">
      <c r="A23" s="13" t="s">
        <v>53</v>
      </c>
      <c r="B23" s="44">
        <v>3.0</v>
      </c>
      <c r="C23" s="45"/>
      <c r="D23" s="45"/>
      <c r="E23" s="45"/>
      <c r="F23" s="45"/>
      <c r="G23" s="45"/>
      <c r="H23" s="45"/>
      <c r="I23" s="45"/>
      <c r="J23" s="46">
        <v>3.0</v>
      </c>
      <c r="K23" s="45"/>
      <c r="L23" s="45"/>
      <c r="M23" s="45"/>
      <c r="N23" s="45"/>
      <c r="O23" s="45"/>
      <c r="P23" s="45"/>
      <c r="Q23" s="45"/>
      <c r="R23" s="45"/>
      <c r="S23" s="45"/>
      <c r="T23" s="45"/>
    </row>
    <row r="24">
      <c r="A24" s="13" t="s">
        <v>55</v>
      </c>
      <c r="B24" s="44">
        <v>4.0</v>
      </c>
      <c r="C24" s="45"/>
      <c r="D24" s="45"/>
      <c r="E24" s="45"/>
      <c r="F24" s="45"/>
      <c r="G24" s="45"/>
      <c r="H24" s="45"/>
      <c r="I24" s="45"/>
      <c r="J24" s="46">
        <v>2.0</v>
      </c>
      <c r="K24" s="46">
        <v>2.0</v>
      </c>
      <c r="L24" s="45"/>
      <c r="M24" s="45"/>
      <c r="N24" s="45"/>
      <c r="O24" s="45"/>
      <c r="P24" s="45"/>
      <c r="Q24" s="45"/>
      <c r="R24" s="45"/>
      <c r="S24" s="45"/>
      <c r="T24" s="45"/>
    </row>
    <row r="25">
      <c r="A25" s="13" t="s">
        <v>56</v>
      </c>
      <c r="B25" s="44">
        <v>2.0</v>
      </c>
      <c r="C25" s="45"/>
      <c r="D25" s="45"/>
      <c r="E25" s="45"/>
      <c r="F25" s="45"/>
      <c r="G25" s="45"/>
      <c r="H25" s="45"/>
      <c r="I25" s="45"/>
      <c r="J25" s="45"/>
      <c r="K25" s="45"/>
      <c r="L25" s="46">
        <v>2.0</v>
      </c>
      <c r="M25" s="45"/>
      <c r="N25" s="45"/>
      <c r="O25" s="45"/>
      <c r="P25" s="45"/>
      <c r="Q25" s="45"/>
      <c r="R25" s="45"/>
      <c r="S25" s="45"/>
      <c r="T25" s="45"/>
    </row>
    <row r="26">
      <c r="A26" s="8" t="s">
        <v>57</v>
      </c>
      <c r="B26" s="44">
        <v>1.0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6">
        <v>1.0</v>
      </c>
      <c r="N26" s="45"/>
      <c r="O26" s="45"/>
      <c r="P26" s="45"/>
      <c r="Q26" s="45"/>
      <c r="R26" s="45"/>
      <c r="S26" s="45"/>
      <c r="T26" s="45"/>
    </row>
    <row r="28">
      <c r="A28" s="11" t="s">
        <v>84</v>
      </c>
      <c r="C28" s="13" t="s">
        <v>66</v>
      </c>
      <c r="D28" s="13" t="s">
        <v>67</v>
      </c>
      <c r="E28" s="13" t="s">
        <v>68</v>
      </c>
      <c r="F28" s="13" t="s">
        <v>69</v>
      </c>
      <c r="G28" s="13" t="s">
        <v>70</v>
      </c>
      <c r="H28" s="13" t="s">
        <v>71</v>
      </c>
      <c r="I28" s="13" t="s">
        <v>72</v>
      </c>
      <c r="J28" s="13" t="s">
        <v>73</v>
      </c>
      <c r="K28" s="13" t="s">
        <v>74</v>
      </c>
      <c r="L28" s="13" t="s">
        <v>75</v>
      </c>
      <c r="M28" s="13" t="s">
        <v>76</v>
      </c>
      <c r="N28" s="13" t="s">
        <v>77</v>
      </c>
      <c r="O28" s="13" t="s">
        <v>78</v>
      </c>
      <c r="P28" s="13" t="s">
        <v>79</v>
      </c>
      <c r="Q28" s="13" t="s">
        <v>80</v>
      </c>
      <c r="R28" s="13" t="s">
        <v>81</v>
      </c>
      <c r="S28" s="13" t="s">
        <v>82</v>
      </c>
      <c r="T28" s="13" t="s">
        <v>83</v>
      </c>
    </row>
    <row r="29">
      <c r="B29" s="47">
        <f t="shared" ref="B29:T29" si="1">SUM(B3:B26)</f>
        <v>95</v>
      </c>
      <c r="C29" s="48">
        <f t="shared" si="1"/>
        <v>1</v>
      </c>
      <c r="D29" s="48">
        <f t="shared" si="1"/>
        <v>5</v>
      </c>
      <c r="E29" s="48">
        <f t="shared" si="1"/>
        <v>4.5</v>
      </c>
      <c r="F29" s="48">
        <f t="shared" si="1"/>
        <v>3.5</v>
      </c>
      <c r="G29" s="48">
        <f t="shared" si="1"/>
        <v>7</v>
      </c>
      <c r="H29" s="48">
        <f t="shared" si="1"/>
        <v>0</v>
      </c>
      <c r="I29" s="48">
        <f t="shared" si="1"/>
        <v>0</v>
      </c>
      <c r="J29" s="48">
        <f t="shared" si="1"/>
        <v>5</v>
      </c>
      <c r="K29" s="48">
        <f t="shared" si="1"/>
        <v>2</v>
      </c>
      <c r="L29" s="48">
        <f t="shared" si="1"/>
        <v>6</v>
      </c>
      <c r="M29" s="48">
        <f t="shared" si="1"/>
        <v>1</v>
      </c>
      <c r="N29" s="48">
        <f t="shared" si="1"/>
        <v>15</v>
      </c>
      <c r="O29" s="48">
        <f t="shared" si="1"/>
        <v>5.3</v>
      </c>
      <c r="P29" s="48">
        <f t="shared" si="1"/>
        <v>11.9</v>
      </c>
      <c r="Q29" s="48">
        <f t="shared" si="1"/>
        <v>12.9</v>
      </c>
      <c r="R29" s="48">
        <f t="shared" si="1"/>
        <v>10.9</v>
      </c>
      <c r="S29" s="48">
        <f t="shared" si="1"/>
        <v>4</v>
      </c>
      <c r="T29" s="48">
        <f t="shared" si="1"/>
        <v>0</v>
      </c>
    </row>
    <row r="30">
      <c r="B30" s="11" t="s">
        <v>85</v>
      </c>
      <c r="C30" s="47">
        <f>B29-C29</f>
        <v>94</v>
      </c>
      <c r="D30" s="47">
        <f t="shared" ref="D30:T30" si="2">C30-D29</f>
        <v>89</v>
      </c>
      <c r="E30" s="47">
        <f t="shared" si="2"/>
        <v>84.5</v>
      </c>
      <c r="F30" s="47">
        <f t="shared" si="2"/>
        <v>81</v>
      </c>
      <c r="G30" s="47">
        <f t="shared" si="2"/>
        <v>74</v>
      </c>
      <c r="H30" s="47">
        <f t="shared" si="2"/>
        <v>74</v>
      </c>
      <c r="I30" s="47">
        <f t="shared" si="2"/>
        <v>74</v>
      </c>
      <c r="J30" s="47">
        <f t="shared" si="2"/>
        <v>69</v>
      </c>
      <c r="K30" s="47">
        <f t="shared" si="2"/>
        <v>67</v>
      </c>
      <c r="L30" s="47">
        <f t="shared" si="2"/>
        <v>61</v>
      </c>
      <c r="M30" s="47">
        <f t="shared" si="2"/>
        <v>60</v>
      </c>
      <c r="N30" s="47">
        <f t="shared" si="2"/>
        <v>45</v>
      </c>
      <c r="O30" s="47">
        <f t="shared" si="2"/>
        <v>39.7</v>
      </c>
      <c r="P30" s="47">
        <f t="shared" si="2"/>
        <v>27.8</v>
      </c>
      <c r="Q30" s="47">
        <f t="shared" si="2"/>
        <v>14.9</v>
      </c>
      <c r="R30" s="47">
        <f t="shared" si="2"/>
        <v>4</v>
      </c>
      <c r="S30" s="47">
        <f t="shared" si="2"/>
        <v>0</v>
      </c>
      <c r="T30" s="47">
        <f t="shared" si="2"/>
        <v>0</v>
      </c>
    </row>
    <row r="31">
      <c r="B31" s="11" t="s">
        <v>86</v>
      </c>
      <c r="C31" s="48">
        <f>C29</f>
        <v>1</v>
      </c>
      <c r="D31" s="48">
        <f t="shared" ref="D31:T31" si="3">C31+D29</f>
        <v>6</v>
      </c>
      <c r="E31" s="48">
        <f t="shared" si="3"/>
        <v>10.5</v>
      </c>
      <c r="F31" s="48">
        <f t="shared" si="3"/>
        <v>14</v>
      </c>
      <c r="G31" s="48">
        <f t="shared" si="3"/>
        <v>21</v>
      </c>
      <c r="H31" s="48">
        <f t="shared" si="3"/>
        <v>21</v>
      </c>
      <c r="I31" s="48">
        <f t="shared" si="3"/>
        <v>21</v>
      </c>
      <c r="J31" s="48">
        <f t="shared" si="3"/>
        <v>26</v>
      </c>
      <c r="K31" s="48">
        <f t="shared" si="3"/>
        <v>28</v>
      </c>
      <c r="L31" s="48">
        <f t="shared" si="3"/>
        <v>34</v>
      </c>
      <c r="M31" s="48">
        <f t="shared" si="3"/>
        <v>35</v>
      </c>
      <c r="N31" s="48">
        <f t="shared" si="3"/>
        <v>50</v>
      </c>
      <c r="O31" s="48">
        <f t="shared" si="3"/>
        <v>55.3</v>
      </c>
      <c r="P31" s="48">
        <f t="shared" si="3"/>
        <v>67.2</v>
      </c>
      <c r="Q31" s="48">
        <f t="shared" si="3"/>
        <v>80.1</v>
      </c>
      <c r="R31" s="48">
        <f t="shared" si="3"/>
        <v>91</v>
      </c>
      <c r="S31" s="48">
        <f t="shared" si="3"/>
        <v>95</v>
      </c>
      <c r="T31" s="48">
        <f t="shared" si="3"/>
        <v>95</v>
      </c>
    </row>
    <row r="33">
      <c r="N33" s="49"/>
    </row>
    <row r="34">
      <c r="N34" s="49"/>
    </row>
    <row r="35">
      <c r="N35" s="49"/>
    </row>
    <row r="36">
      <c r="N36" s="49"/>
    </row>
    <row r="37">
      <c r="N37" s="49"/>
    </row>
    <row r="38">
      <c r="N38" s="49"/>
    </row>
    <row r="39">
      <c r="N39" s="49"/>
    </row>
    <row r="40">
      <c r="N40" s="49"/>
    </row>
    <row r="41">
      <c r="N41" s="49"/>
    </row>
    <row r="42">
      <c r="N42" s="49"/>
    </row>
    <row r="43">
      <c r="N43" s="49"/>
    </row>
    <row r="44">
      <c r="N44" s="49"/>
    </row>
    <row r="45">
      <c r="N45" s="49"/>
    </row>
    <row r="46">
      <c r="N46" s="49"/>
    </row>
    <row r="47">
      <c r="N47" s="49"/>
    </row>
    <row r="48">
      <c r="N48" s="49"/>
    </row>
    <row r="49">
      <c r="N49" s="49"/>
    </row>
    <row r="50">
      <c r="N50" s="49"/>
    </row>
    <row r="51">
      <c r="A51" s="50"/>
      <c r="N51" s="49"/>
    </row>
    <row r="52">
      <c r="N52" s="49"/>
    </row>
    <row r="53">
      <c r="N53" s="49"/>
    </row>
    <row r="54">
      <c r="N54" s="49"/>
    </row>
    <row r="55">
      <c r="N55" s="49"/>
    </row>
    <row r="56">
      <c r="N56" s="49"/>
    </row>
    <row r="58">
      <c r="A58" s="11" t="s">
        <v>87</v>
      </c>
      <c r="B58" s="49">
        <v>8.0</v>
      </c>
      <c r="C58" s="49">
        <v>8.0</v>
      </c>
      <c r="D58" s="49">
        <v>4.0</v>
      </c>
      <c r="E58" s="49">
        <v>8.0</v>
      </c>
      <c r="F58" s="49">
        <v>7.0</v>
      </c>
      <c r="G58" s="49">
        <v>8.0</v>
      </c>
      <c r="H58" s="49">
        <v>8.0</v>
      </c>
      <c r="I58" s="49">
        <v>8.0</v>
      </c>
      <c r="J58" s="49">
        <v>5.0</v>
      </c>
      <c r="K58" s="49">
        <v>7.0</v>
      </c>
      <c r="L58" s="49">
        <v>8.0</v>
      </c>
      <c r="M58" s="49">
        <v>8.0</v>
      </c>
      <c r="N58" s="49">
        <v>7.0</v>
      </c>
      <c r="O58" s="49">
        <v>3.0</v>
      </c>
      <c r="P58" s="49">
        <v>3.0</v>
      </c>
      <c r="Q58" s="49">
        <v>1.0</v>
      </c>
      <c r="R58" s="49">
        <v>4.0</v>
      </c>
      <c r="S58" s="23"/>
      <c r="T58" s="23"/>
      <c r="U58" s="23"/>
      <c r="V58" s="23"/>
      <c r="W58" s="23"/>
      <c r="X58" s="23"/>
      <c r="Y58" s="23"/>
    </row>
    <row r="59">
      <c r="A59" s="11" t="s">
        <v>88</v>
      </c>
      <c r="B59" s="48">
        <f>A60-B58</f>
        <v>97</v>
      </c>
      <c r="C59" s="48">
        <f t="shared" ref="C59:R59" si="4">B59-C58</f>
        <v>89</v>
      </c>
      <c r="D59" s="48">
        <f t="shared" si="4"/>
        <v>85</v>
      </c>
      <c r="E59" s="48">
        <f t="shared" si="4"/>
        <v>77</v>
      </c>
      <c r="F59" s="48">
        <f t="shared" si="4"/>
        <v>70</v>
      </c>
      <c r="G59" s="48">
        <f t="shared" si="4"/>
        <v>62</v>
      </c>
      <c r="H59" s="48">
        <f t="shared" si="4"/>
        <v>54</v>
      </c>
      <c r="I59" s="48">
        <f t="shared" si="4"/>
        <v>46</v>
      </c>
      <c r="J59" s="48">
        <f t="shared" si="4"/>
        <v>41</v>
      </c>
      <c r="K59" s="48">
        <f t="shared" si="4"/>
        <v>34</v>
      </c>
      <c r="L59" s="48">
        <f t="shared" si="4"/>
        <v>26</v>
      </c>
      <c r="M59" s="48">
        <f t="shared" si="4"/>
        <v>18</v>
      </c>
      <c r="N59" s="48">
        <f t="shared" si="4"/>
        <v>11</v>
      </c>
      <c r="O59" s="48">
        <f t="shared" si="4"/>
        <v>8</v>
      </c>
      <c r="P59" s="48">
        <f t="shared" si="4"/>
        <v>5</v>
      </c>
      <c r="Q59" s="48">
        <f t="shared" si="4"/>
        <v>4</v>
      </c>
      <c r="R59" s="48">
        <f t="shared" si="4"/>
        <v>0</v>
      </c>
    </row>
    <row r="60">
      <c r="A60" s="48">
        <f>SUM(B58:Y58)</f>
        <v>105</v>
      </c>
    </row>
    <row r="61">
      <c r="A61" s="11" t="s">
        <v>89</v>
      </c>
    </row>
    <row r="62">
      <c r="A62" s="11" t="s">
        <v>90</v>
      </c>
      <c r="B62" s="48">
        <f>B58</f>
        <v>8</v>
      </c>
      <c r="C62" s="48">
        <f t="shared" ref="C62:R62" si="5">B62+C58</f>
        <v>16</v>
      </c>
      <c r="D62" s="48">
        <f t="shared" si="5"/>
        <v>20</v>
      </c>
      <c r="E62" s="48">
        <f t="shared" si="5"/>
        <v>28</v>
      </c>
      <c r="F62" s="48">
        <f t="shared" si="5"/>
        <v>35</v>
      </c>
      <c r="G62" s="48">
        <f t="shared" si="5"/>
        <v>43</v>
      </c>
      <c r="H62" s="48">
        <f t="shared" si="5"/>
        <v>51</v>
      </c>
      <c r="I62" s="48">
        <f t="shared" si="5"/>
        <v>59</v>
      </c>
      <c r="J62" s="48">
        <f t="shared" si="5"/>
        <v>64</v>
      </c>
      <c r="K62" s="48">
        <f t="shared" si="5"/>
        <v>71</v>
      </c>
      <c r="L62" s="48">
        <f t="shared" si="5"/>
        <v>79</v>
      </c>
      <c r="M62" s="48">
        <f t="shared" si="5"/>
        <v>87</v>
      </c>
      <c r="N62" s="48">
        <f t="shared" si="5"/>
        <v>94</v>
      </c>
      <c r="O62" s="48">
        <f t="shared" si="5"/>
        <v>97</v>
      </c>
      <c r="P62" s="48">
        <f t="shared" si="5"/>
        <v>100</v>
      </c>
      <c r="Q62" s="48">
        <f t="shared" si="5"/>
        <v>101</v>
      </c>
      <c r="R62" s="48">
        <f t="shared" si="5"/>
        <v>105</v>
      </c>
    </row>
  </sheetData>
  <drawing r:id="rId1"/>
</worksheet>
</file>